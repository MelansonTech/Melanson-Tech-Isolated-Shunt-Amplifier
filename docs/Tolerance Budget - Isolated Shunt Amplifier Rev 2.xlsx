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ssumptions" sheetId="1" state="visible" r:id="rId3"/>
    <sheet name="10 A range (x10)" sheetId="2" state="visible" r:id="rId4"/>
    <sheet name="5 A range (x100)" sheetId="3" state="visible" r:id="rId5"/>
    <sheet name="R28 sizing" sheetId="4" state="visible" r:id="rId6"/>
    <sheet name="Trim range" sheetId="5" state="visible" r:id="rId7"/>
    <sheet name="Specification"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<sst xmlns="http://schemas.openxmlformats.org/spreadsheetml/2006/main" count="389" uniqueCount="259">
  <si>
    <t xml:space="preserve">Isolated Shunt Amplifier — Tolerance Budget</t>
  </si>
  <si>
    <t xml:space="preserve">Rev 2. Blue cells are inputs — change them and every sheet recalculates.</t>
  </si>
  <si>
    <t xml:space="preserve">Sources: Skyworks Si8921/22 datasheet; Vishay WSL3637 datasheet; Rev 2 schematic and BOM.</t>
  </si>
  <si>
    <t xml:space="preserve">OPERATING CONDITIONS</t>
  </si>
  <si>
    <t xml:space="preserve">Max current, ×10 range</t>
  </si>
  <si>
    <t xml:space="preserve">A</t>
  </si>
  <si>
    <t xml:space="preserve">Switch position 2. The legend 1 V/10 A is the scale factor, so 10 A gives a 1.0 V full-scale output.</t>
  </si>
  <si>
    <t xml:space="preserve">Max current, ×100 range</t>
  </si>
  <si>
    <t xml:space="preserve">Switch position 3. The legend 1 V/1 A is the scale factor, so 5 A gives a 5.0 V full-scale output. NOTE: J1 is silkscreened +/-4.5 V, which this exceeds — see the design review.</t>
  </si>
  <si>
    <t xml:space="preserve">Temperature excursion from calibration point</t>
  </si>
  <si>
    <t xml:space="preserve">°C</t>
  </si>
  <si>
    <t xml:space="preserve">±°C about the 23 °C trim point. Drives every drift term. 5 = the industry-standard 23 ±5 °C accuracy window. Set to 20 to see the full 0-40 °C operating range.</t>
  </si>
  <si>
    <t xml:space="preserve">SHUNT — Vishay WSL3637R0100DEA</t>
  </si>
  <si>
    <t xml:space="preserve">Resistance</t>
  </si>
  <si>
    <t xml:space="preserve">Ω</t>
  </si>
  <si>
    <t xml:space="preserve">10 mΩ, 4-terminal Kelvin.</t>
  </si>
  <si>
    <t xml:space="preserve">Initial tolerance</t>
  </si>
  <si>
    <t xml:space="preserve">%</t>
  </si>
  <si>
    <t xml:space="preserve">Datasheet: ±0.5 % or ±1.0 % available. ±0.5 % fitted.</t>
  </si>
  <si>
    <t xml:space="preserve">TCR</t>
  </si>
  <si>
    <t xml:space="preserve">ppm/°C</t>
  </si>
  <si>
    <t xml:space="preserve">Datasheet: ±50 ppm/°C for 0.003 Ω to 0.010 Ω.</t>
  </si>
  <si>
    <t xml:space="preserve">Power rating</t>
  </si>
  <si>
    <t xml:space="preserve">W</t>
  </si>
  <si>
    <t xml:space="preserve">Datasheet: 3.0 W at 70 °C ambient.</t>
  </si>
  <si>
    <t xml:space="preserve">Max operating temperature</t>
  </si>
  <si>
    <t xml:space="preserve">Datasheet: −65 to +170 °C. Derating curve runs to zero here.</t>
  </si>
  <si>
    <t xml:space="preserve">Ambient for the power rating</t>
  </si>
  <si>
    <t xml:space="preserve">Datasheet condition for the 3.0 W rating.</t>
  </si>
  <si>
    <t xml:space="preserve">Shunt thermal EMF at the terminals</t>
  </si>
  <si>
    <t xml:space="preserve">µV</t>
  </si>
  <si>
    <t xml:space="preserve">ESTIMATE — not from a datasheet. Cu-to-alloy junction with a small gradient. Measure to confirm.</t>
  </si>
  <si>
    <t xml:space="preserve">ISOLATOR — Si8921BD-IS4R (B grade)</t>
  </si>
  <si>
    <t xml:space="preserve">Nominal gain</t>
  </si>
  <si>
    <t xml:space="preserve">V/V</t>
  </si>
  <si>
    <t xml:space="preserve">Datasheet: 8.2 for Si8921B.</t>
  </si>
  <si>
    <t xml:space="preserve">Gain error, max at 25 °C</t>
  </si>
  <si>
    <t xml:space="preserve">Datasheet: −0.2 / ±0.06 typ / +0.2 %.</t>
  </si>
  <si>
    <t xml:space="preserve">Gain drift, worst case</t>
  </si>
  <si>
    <t xml:space="preserve">Datasheet: −24 / −9 typ / 0 ppm/°C.</t>
  </si>
  <si>
    <t xml:space="preserve">Input offset voltage, max at 25 °C</t>
  </si>
  <si>
    <t xml:space="preserve">mV</t>
  </si>
  <si>
    <t xml:space="preserve">Datasheet Si8921: −0.15 / ±0.04 typ / +0.15 mV. Trimmed out by R28.</t>
  </si>
  <si>
    <t xml:space="preserve">Input offset drift, max</t>
  </si>
  <si>
    <t xml:space="preserve">µV/°C</t>
  </si>
  <si>
    <t xml:space="preserve">Datasheet: −0.3 / 0.5 typ / 3 µV/°C. NOT trimmable.</t>
  </si>
  <si>
    <t xml:space="preserve">Nonlinearity, max</t>
  </si>
  <si>
    <t xml:space="preserve">% FS</t>
  </si>
  <si>
    <t xml:space="preserve">Datasheet: up to ±0.08 % by grade; 0.003–0.02 % typ.</t>
  </si>
  <si>
    <t xml:space="preserve">DIFFERENCE AMP U3 — gain R3/R2</t>
  </si>
  <si>
    <t xml:space="preserve">R2, R9 tolerance</t>
  </si>
  <si>
    <t xml:space="preserve">ERA-6VRW8201V, 8.2 kΩ ±0.05 %.</t>
  </si>
  <si>
    <t xml:space="preserve">R2, R9 TCR</t>
  </si>
  <si>
    <t xml:space="preserve">ERA-6VRW8201V, ±10 ppm/°C.</t>
  </si>
  <si>
    <t xml:space="preserve">R3, R20 tolerance</t>
  </si>
  <si>
    <t xml:space="preserve">RG2012P-103-B-T5, 10 kΩ ±0.1 %.</t>
  </si>
  <si>
    <t xml:space="preserve">R3, R20 TCR</t>
  </si>
  <si>
    <t xml:space="preserve">RG2012P-103-B-T5, ±25 ppm/°C.</t>
  </si>
  <si>
    <t xml:space="preserve">SECOND STAGE U8 — high-gain range only</t>
  </si>
  <si>
    <t xml:space="preserve">Feedback R7+R10+R11</t>
  </si>
  <si>
    <t xml:space="preserve">3 × 470 Ω in series, ERA-6AEB471V.</t>
  </si>
  <si>
    <t xml:space="preserve">Gain-set R14∥R16∥R18</t>
  </si>
  <si>
    <t xml:space="preserve">3 × 470 Ω in parallel.</t>
  </si>
  <si>
    <t xml:space="preserve">470 Ω network tolerance</t>
  </si>
  <si>
    <t xml:space="preserve">ERA-6AEB471V, ±0.1 %.</t>
  </si>
  <si>
    <t xml:space="preserve">470 Ω network TCR</t>
  </si>
  <si>
    <t xml:space="preserve">ERA-6AEB471V, ±25 ppm/°C.</t>
  </si>
  <si>
    <t xml:space="preserve">Rel1 contact resistance</t>
  </si>
  <si>
    <t xml:space="preserve">Omron G6L-1F, initial max. Rises over contact life.</t>
  </si>
  <si>
    <t xml:space="preserve">OFFSET TRIM — R28</t>
  </si>
  <si>
    <t xml:space="preserve">R28 pot value</t>
  </si>
  <si>
    <t xml:space="preserve">As fitted per the schematic. NOTE: the BOM specifies CT94EW103 = 10 kΩ — the BOM line is wrong.</t>
  </si>
  <si>
    <t xml:space="preserve">R26, R29 divider</t>
  </si>
  <si>
    <t xml:space="preserve">ERA-6AEB104V, 100 kΩ ±0.1 %, ±25 ppm/°C.</t>
  </si>
  <si>
    <t xml:space="preserve">Reference divider resistor tolerance</t>
  </si>
  <si>
    <t xml:space="preserve">ERA-6AEB104V on all four of R26, R29, R22, R17.</t>
  </si>
  <si>
    <t xml:space="preserve">+12 V rail</t>
  </si>
  <si>
    <t xml:space="preserve">V</t>
  </si>
  <si>
    <t xml:space="preserve">UA78L12 output.</t>
  </si>
  <si>
    <t xml:space="preserve">Trimmer settability</t>
  </si>
  <si>
    <t xml:space="preserve">% of span</t>
  </si>
  <si>
    <t xml:space="preserve">Rule of thumb for a single-turn cermet. 0.1 % for a 25-turn.</t>
  </si>
  <si>
    <t xml:space="preserve">REFERENCE BUFFERS — both LM7321</t>
  </si>
  <si>
    <t xml:space="preserve">U9 (+) source impedance</t>
  </si>
  <si>
    <t xml:space="preserve">R26∥R29 = 50 kΩ in series with R21 = 10 kΩ. Set this to 50100 to model R21 changed to 100 Ω, which very nearly removes the asymmetry against U5.</t>
  </si>
  <si>
    <t xml:space="preserve">U5 (+) source impedance</t>
  </si>
  <si>
    <t xml:space="preserve">R22∥R17 = 50 kΩ. Note the deliberate 10 kΩ asymmetry against U9.</t>
  </si>
  <si>
    <t xml:space="preserve">LM7321 bias current, common mode</t>
  </si>
  <si>
    <t xml:space="preserve">nA</t>
  </si>
  <si>
    <t xml:space="preserve">ESTIMATE. Datasheet says 0.4 µA typ — but at VCM = V−, and both buffers run at VCM = 6 V mid-rail where an RRIO input stage crosses over. Bounded below ~300 nA by the fact that ±3 mV of trim range suffices on hardware. Measure it.</t>
  </si>
  <si>
    <t xml:space="preserve">LM7321 Ib device-to-device mismatch</t>
  </si>
  <si>
    <t xml:space="preserve">ESTIMATE. Same part type in both positions, so Ib is matched — this is the residual spread between two packages.</t>
  </si>
  <si>
    <t xml:space="preserve">Ib change per °C</t>
  </si>
  <si>
    <t xml:space="preserve">%/°C</t>
  </si>
  <si>
    <t xml:space="preserve">ESTIMATE. Bipolar Ib falls as beta rises with temperature. Matched devices track, so most of this is common-mode. Multiplied by the temperature excursion, so it scales correctly when that cell changes.</t>
  </si>
  <si>
    <t xml:space="preserve">LM7321 input offset voltage, max</t>
  </si>
  <si>
    <t xml:space="preserve">Datasheet: ±0.35 mV typ, ±5 mV max at 25 °C, ±6 mV over −40 to +125 °C. Nulled by R28.</t>
  </si>
  <si>
    <t xml:space="preserve">LM7321 input offset voltage, typ</t>
  </si>
  <si>
    <t xml:space="preserve">Datasheet typ. The fitted parts must be near this — see the Trim range tab.</t>
  </si>
  <si>
    <t xml:space="preserve">LM7321 Vos temperature drift</t>
  </si>
  <si>
    <t xml:space="preserve">Datasheet: ±2.5 µV/°C. NOT nulled by R28.</t>
  </si>
  <si>
    <t xml:space="preserve">DERIVED</t>
  </si>
  <si>
    <t xml:space="preserve">Implied thermal resistance</t>
  </si>
  <si>
    <t xml:space="preserve">°C/W</t>
  </si>
  <si>
    <t xml:space="preserve">From the linear derating curve: 3.0 W at 70 °C falling to 0 W at 170 °C.</t>
  </si>
  <si>
    <t xml:space="preserve">R28 trim span</t>
  </si>
  <si>
    <t xml:space="preserve">R28 settable step</t>
  </si>
  <si>
    <t xml:space="preserve">x10 RANGE - 10 A MAX</t>
  </si>
  <si>
    <t xml:space="preserve">Shunt dissipation at max current</t>
  </si>
  <si>
    <t xml:space="preserve">I²R at the maximum current for this range.</t>
  </si>
  <si>
    <t xml:space="preserve">Shunt self-heating rise</t>
  </si>
  <si>
    <t xml:space="preserve">Full-scale shunt voltage</t>
  </si>
  <si>
    <t xml:space="preserve">Full-scale output</t>
  </si>
  <si>
    <t xml:space="preserve">Max current x 10 mOhm x total gain. NOT +/-4.5 V - that is amplifier swing, i.e. overrange headroom.</t>
  </si>
  <si>
    <t xml:space="preserve">x100 RANGE - 5 A MAX</t>
  </si>
  <si>
    <t xml:space="preserve">10 A range — total gain ×10, 1.0 V full scale</t>
  </si>
  <si>
    <t xml:space="preserve">Every term is ± and expressed as a percentage. Gain terms are % of reading; offset and full-scale terms are % of the 1 V calibrated full scale.</t>
  </si>
  <si>
    <t xml:space="preserve">Error term</t>
  </si>
  <si>
    <t xml:space="preserve">± %</t>
  </si>
  <si>
    <t xml:space="preserve">Removed by</t>
  </si>
  <si>
    <t xml:space="preserve">Derivation</t>
  </si>
  <si>
    <t xml:space="preserve">Gain terms — % of reading</t>
  </si>
  <si>
    <t xml:space="preserve">R5 shunt initial tolerance</t>
  </si>
  <si>
    <t xml:space="preserve">Scale factor</t>
  </si>
  <si>
    <t xml:space="preserve">Datasheet tolerance. A one-time gain correction removes it entirely.</t>
  </si>
  <si>
    <t xml:space="preserve">R5 self-heating at full current</t>
  </si>
  <si>
    <t xml:space="preserve">No</t>
  </si>
  <si>
    <t xml:space="preserve">Self-heating rise × TCR. Scales with I², so it is negligible at low current and worst at full scale.</t>
  </si>
  <si>
    <t xml:space="preserve">R5 ambient drift</t>
  </si>
  <si>
    <t xml:space="preserve">Temperature excursion × TCR.</t>
  </si>
  <si>
    <t xml:space="preserve">Si8921B gain error at 25 °C</t>
  </si>
  <si>
    <t xml:space="preserve">Datasheet max. Systematic per part, so calibration removes it.</t>
  </si>
  <si>
    <t xml:space="preserve">Si8921B gain drift</t>
  </si>
  <si>
    <t xml:space="preserve">Temperature excursion × worst-case gain drift.</t>
  </si>
  <si>
    <t xml:space="preserve">U3 resistor ratio R3/R2</t>
  </si>
  <si>
    <t xml:space="preserve">RSS of the two tolerances. These are discrete parts, not a matched network.</t>
  </si>
  <si>
    <t xml:space="preserve">U3 TCR mismatch</t>
  </si>
  <si>
    <t xml:space="preserve">Worst-case differential drift: the two halves have different TCR specs (10 vs 25 ppm/°C) and do not track.</t>
  </si>
  <si>
    <t xml:space="preserve">Offset and full-scale terms — % of full scale</t>
  </si>
  <si>
    <t xml:space="preserve">Si8921B input offset at 25 °C, max</t>
  </si>
  <si>
    <t xml:space="preserve">R28 trim</t>
  </si>
  <si>
    <t xml:space="preserve">Datasheet max ±0.15 mV at the shunt input, referred to the output. Shown at full value so the trim's contribution is visible: R28 nulls it completely.</t>
  </si>
  <si>
    <t xml:space="preserve">Reference static offset — 2 × LM7321 Vos</t>
  </si>
  <si>
    <t xml:space="preserve">Two LM7321 buffers at ±5 mV max, RSS. Appears directly as a DiffAmpRef-to-ISenseRTN difference. R28 nulls it — but see the Trim range tab: at datasheet limits this alone exceeds the 100 Ω pot's ±3 mV range.</t>
  </si>
  <si>
    <t xml:space="preserve">Reference static offset — divider tolerance</t>
  </si>
  <si>
    <t xml:space="preserve">Four 0.1 % resistors forming two dividers; RSS of the four sensitivities, ±6 mV. Also nulled by R28.</t>
  </si>
  <si>
    <t xml:space="preserve">Reference static offset — Ib × 10 kΩ asymmetry</t>
  </si>
  <si>
    <t xml:space="preserve">Common-mode Ib acting on the R21 asymmetry. Static part nulls out; the drift part does not — see the separate reference-drift line.</t>
  </si>
  <si>
    <t xml:space="preserve">LM7321 Vos drift, two devices</t>
  </si>
  <si>
    <t xml:space="preserve">±2.5 µV/°C per device over the temperature excursion, RSS of two. Not trimmable.</t>
  </si>
  <si>
    <t xml:space="preserve">Si8921B input offset drift</t>
  </si>
  <si>
    <t xml:space="preserve">Offset drift × temperature excursion, referred to the output and divided by full scale. THE dominant term on the high-gain range: the shunt only develops 10 mV at 1 A, so input offset weighs ten times more heavily.</t>
  </si>
  <si>
    <t xml:space="preserve">Shunt thermal EMF</t>
  </si>
  <si>
    <t xml:space="preserve">Partly</t>
  </si>
  <si>
    <t xml:space="preserve">ESTIMATE. A static EMF trims out; the part that varies with the thermal gradient does not.</t>
  </si>
  <si>
    <t xml:space="preserve">Si8921B nonlinearity</t>
  </si>
  <si>
    <t xml:space="preserve">Datasheet max. Not removable by a two-point calibration.</t>
  </si>
  <si>
    <t xml:space="preserve">R28 trim resolution</t>
  </si>
  <si>
    <t xml:space="preserve">Smallest settable step at DiffAmpRef, multiplied by the U8 gain, as a fraction of full scale. This is how finely zero can be set — not an error in the parts.</t>
  </si>
  <si>
    <t xml:space="preserve">Reference drift, DiffAmpRef vs ISenseRTN</t>
  </si>
  <si>
    <t xml:space="preserve">Both references use an LM7321, so bias current is MATCHED and its common-mode part cancels — but only to the extent the two source impedances match, and they differ by R21 = 10 kΩ. The first bracket is that 10 kΩ asymmetry acting on common-mode Ib drift; the second is device mismatch acting on the average impedance. ESTIMATE — bench-measure DiffAmpRef minus ISenseRTN against temperature after trimming.</t>
  </si>
  <si>
    <t xml:space="preserve">TOTALS — error at a full-scale reading</t>
  </si>
  <si>
    <t xml:space="preserve">As built, worst case (linear sum)</t>
  </si>
  <si>
    <t xml:space="preserve">Every term at its datasheet limit, all pushing the same way, nothing trimmed or calibrated.</t>
  </si>
  <si>
    <t xml:space="preserve">As built, RSS</t>
  </si>
  <si>
    <t xml:space="preserve">Same, combined statistically.</t>
  </si>
  <si>
    <t xml:space="preserve">AS SHIPPED — R28 trimmed, worst case</t>
  </si>
  <si>
    <t xml:space="preserve">THE NUMBER TO PUBLISH. R28 is trimmed on every board, so every static offset is gone before the unit ships. Nothing on the board trims gain, so all the gain terms remain.</t>
  </si>
  <si>
    <t xml:space="preserve">AS SHIPPED — R28 trimmed, RSS</t>
  </si>
  <si>
    <t xml:space="preserve">The realistic out-of-the-box figure. This is what a user gets with no action on their part.</t>
  </si>
  <si>
    <t xml:space="preserve">+ user scale factor, worst case</t>
  </si>
  <si>
    <t xml:space="preserve">NOT A BOARD FEATURE — there is no gain trimmer. This row is only reachable if the user measures a known current and applies a scale factor in their own DAQ or software. Shown so the ceiling is visible.</t>
  </si>
  <si>
    <t xml:space="preserve">+ user scale factor, RSS</t>
  </si>
  <si>
    <t xml:space="preserve">Best achievable, and only with user-side correction. Do not publish this as the instrument spec.</t>
  </si>
  <si>
    <t xml:space="preserve">5 A range — total gain ×100, 5.0 V full scale</t>
  </si>
  <si>
    <t xml:space="preserve">U8 network ratio (6 × 470 Ω)</t>
  </si>
  <si>
    <t xml:space="preserve">Gain sensitivity × RSS of the series and parallel groups; three parts per group average down by √3.</t>
  </si>
  <si>
    <t xml:space="preserve">U8 TCR mismatch</t>
  </si>
  <si>
    <t xml:space="preserve">Same part type throughout, so this is pessimistic — real tracking will be better.</t>
  </si>
  <si>
    <t xml:space="preserve">Contact resistance in series with the gain-set leg. Systematic, but it grows with contact wear, so calibration ages out.</t>
  </si>
  <si>
    <t xml:space="preserve">R28 offset trimmer — range versus resolution</t>
  </si>
  <si>
    <t xml:space="preserve">Trim range must cover the untrimmed offset; the settable step sets how finely zero can be placed. Output figures are on the ×100 (5 A) range, where a DiffAmpRef error is multiplied by 10 against a 5 V full scale.</t>
  </si>
  <si>
    <t xml:space="preserve">R28 (Ω)</t>
  </si>
  <si>
    <t xml:space="preserve">Span (mV)</t>
  </si>
  <si>
    <t xml:space="preserve">Range (±mV)</t>
  </si>
  <si>
    <t xml:space="preserve">Step, 1-turn (µV)</t>
  </si>
  <si>
    <t xml:space="preserve">→ % FS at ×100</t>
  </si>
  <si>
    <t xml:space="preserve">Step, 25-turn (µV)</t>
  </si>
  <si>
    <t xml:space="preserve">100 Ω is the value fitted per the schematic and confirmed on hardware: ±3 mV of range with a 60 µV step, which places zero to 0.06 % of full scale on the ×100 range.</t>
  </si>
  <si>
    <t xml:space="preserve">The BOM line for R28 (CT94EW103) is a 10 kΩ part. At 10 kΩ the step is 5.7 mV, or 5.7 % of full scale at ×100 — the trim would be unusably coarse. The BOM is wrong, not the schematic.</t>
  </si>
  <si>
    <t xml:space="preserve">R28 trim range — what the pot has to absorb</t>
  </si>
  <si>
    <t xml:space="preserve">Every static offset in the chain is nulled by R28, so none of it reaches the output. The question this sheet answers is whether the pot has the RANGE to do it.</t>
  </si>
  <si>
    <t xml:space="preserve">Static offset term</t>
  </si>
  <si>
    <t xml:space="preserve">Worst case (mV)</t>
  </si>
  <si>
    <t xml:space="preserve">Typical (mV)</t>
  </si>
  <si>
    <t xml:space="preserve">Notes</t>
  </si>
  <si>
    <t xml:space="preserve">Reference divider mismatch, both dividers</t>
  </si>
  <si>
    <t xml:space="preserve">Four 0.1 % resistors. Worst case is both dividers at opposite limits. The typical column takes the RSS and divides by 3, on the usual assumption that a thin-film tolerance is roughly a 3-sigma bound — these parts normally land far inside spec.</t>
  </si>
  <si>
    <t xml:space="preserve">LM7321 Vos, two devices</t>
  </si>
  <si>
    <t xml:space="preserve">Datasheet ±5 mV max, ±0.35 mV typ. This is the term that decides whether a board trims.</t>
  </si>
  <si>
    <t xml:space="preserve">Ib through the R21 asymmetry</t>
  </si>
  <si>
    <t xml:space="preserve">Datasheet Ib typ is 0.4 µA, which alone would need 4 mV. The assumed 50 nA reflects the hardware evidence, not the datasheet.</t>
  </si>
  <si>
    <t xml:space="preserve">Si8921B input offset, referred to DiffAmpRef</t>
  </si>
  <si>
    <t xml:space="preserve">±0.15 mV max at the shunt, amplified by the isolator and U3 before it reaches the reference node.</t>
  </si>
  <si>
    <t xml:space="preserve">TOTAL to be absorbed (linear sum)</t>
  </si>
  <si>
    <t xml:space="preserve">R28 range available (± mV)</t>
  </si>
  <si>
    <t xml:space="preserve">Half the span across the pot element, from the Assumptions sheet.</t>
  </si>
  <si>
    <t xml:space="preserve">Margin, worst case</t>
  </si>
  <si>
    <t xml:space="preserve">Negative means a board built from worst-case parts could not be trimmed to zero.</t>
  </si>
  <si>
    <t xml:space="preserve">Margin, typical</t>
  </si>
  <si>
    <t xml:space="preserve">Positive, comfortably — which is why the fitted 100 Ω works on hardware.</t>
  </si>
  <si>
    <t xml:space="preserve">Reading this sheet: the fitted 100 Ω pot trims correctly on hardware, which is itself a measurement — it</t>
  </si>
  <si>
    <t xml:space="preserve">says the parts actually fitted sit near their typical values rather than their datasheet limits.</t>
  </si>
  <si>
    <t xml:space="preserve">But the worst-case margin is negative, and that is a production-yield question rather than a defect. A board</t>
  </si>
  <si>
    <t xml:space="preserve">built from two badly-offset LM7321s could not be zeroed. If more than a handful are ever built, 200 Ω doubles</t>
  </si>
  <si>
    <t xml:space="preserve">the range to ±6 mV while still resolving to 0.12 % of full scale on the ×100 range — see the R28 sizing tab.</t>
  </si>
  <si>
    <t xml:space="preserve">Changing R21 to 100 Ω (see the design review) also removes the Ib term from this budget entirely.</t>
  </si>
  <si>
    <t xml:space="preserve">Note that even the typical column here is conservative. The hardware bounds the real total below the</t>
  </si>
  <si>
    <t xml:space="preserve">±3 mV the pot provides, so the fitted parts are doing better than these figures suggest.</t>
  </si>
  <si>
    <t xml:space="preserve">Accuracy specification, in instrument form</t>
  </si>
  <si>
    <t xml:space="preserve">Gain terms scale with the reading; offset terms are fixed in amps. The usual ±(% of reading + fixed) form separates them, and is far more useful than a single percentage — at 10 % of range the fixed term dominates.</t>
  </si>
  <si>
    <t xml:space="preserve">10 A range (×10)</t>
  </si>
  <si>
    <t xml:space="preserve">5 A range (×100)</t>
  </si>
  <si>
    <t xml:space="preserve">Specification</t>
  </si>
  <si>
    <t xml:space="preserve">% of reading</t>
  </si>
  <si>
    <t xml:space="preserve">+ fixed</t>
  </si>
  <si>
    <t xml:space="preserve">As shipped — linear worst case (a bound, not a prediction)</t>
  </si>
  <si>
    <t xml:space="preserve">As shipped — typical (pure RSS)</t>
  </si>
  <si>
    <t xml:space="preserve">+ user gain calibration, worst case</t>
  </si>
  <si>
    <t xml:space="preserve">+ user gain calibration, typical</t>
  </si>
  <si>
    <t xml:space="preserve">Worked examples — total error</t>
  </si>
  <si>
    <t xml:space="preserve">As shipped, typical, at full scale</t>
  </si>
  <si>
    <t xml:space="preserve">As shipped, typical, at 50 % of range</t>
  </si>
  <si>
    <t xml:space="preserve">As shipped, typical, at 10 % of range</t>
  </si>
  <si>
    <t xml:space="preserve">The fixed term is NOT un-nulled offset. Every static offset term is classified 'R28 trim' on the range</t>
  </si>
  <si>
    <t xml:space="preserve">sheets and is already excluded here — static offset is zero. What remains is what zeroing cannot reach:</t>
  </si>
  <si>
    <t xml:space="preserve">drift that appears after the trim, Si8921 nonlinearity (which is not an offset at all), and the finite</t>
  </si>
  <si>
    <t xml:space="preserve">resolution of the pot. It does not shrink as the reading does, so the error as a percentage of reading</t>
  </si>
  <si>
    <t xml:space="preserve">grows below full scale — at 10 % of range it roughly doubles.</t>
  </si>
  <si>
    <t xml:space="preserve">The fixed term is therefore a strong function of the temperature excursion on the Assumptions sheet.</t>
  </si>
  <si>
    <t xml:space="preserve">At the ±20 °C assumed here it is 17.9 mA and 13.9 mA; re-zeroing at the working temperature takes it to</t>
  </si>
  <si>
    <t xml:space="preserve">8.6 mA and 4.6 mA, at which point it is almost entirely nonlinearity and cannot be improved by trimming.</t>
  </si>
  <si>
    <t xml:space="preserve">The 'as shipped' rows are the instrument's specification. The calibrated rows need the user to measure a</t>
  </si>
  <si>
    <t xml:space="preserve">known current and apply a scale factor in their own system — there is no gain trim on the board.</t>
  </si>
  <si>
    <t xml:space="preserve">RECOMMENDED PUBLISHED SPEC</t>
  </si>
  <si>
    <t xml:space="preserve">Hybrid: batch bias + RSS</t>
  </si>
  <si>
    <t xml:space="preserve">&lt;- round UP to publish</t>
  </si>
  <si>
    <t xml:space="preserve">METHOD. A linear worst-case sum assumes every tolerance lands at its limit and all in the same direction.</t>
  </si>
  <si>
    <t xml:space="preserve">A Monte Carlo over 2 million boards, with every tolerance UNIFORM within its limit (the most conservative</t>
  </si>
  <si>
    <t xml:space="preserve">distribution assumption), never once reached it: the median was 22 % of the worst case, the 99.9th</t>
  </si>
  <si>
    <t xml:space="preserve">percentile 73 %, and the probability of exceeding 1.0 % was about 1 in 125,000. Under a normal</t>
  </si>
  <si>
    <t xml:space="preserve">distribution with the limit at 3 sigma it never exceeded 0.87 %. So the linear sum is a bound, not a</t>
  </si>
  <si>
    <t xml:space="preserve">figure any real board will produce.</t>
  </si>
  <si>
    <t xml:space="preserve">But pure RSS is too optimistic, because independence fails in one place: a reel. Boards built from one</t>
  </si>
  <si>
    <t xml:space="preserve">reel of shunts and one tube of isolators share the same offset from nominal, so those terms act as a</t>
  </si>
  <si>
    <t xml:space="preserve">common batch bias rather than averaging out.</t>
  </si>
  <si>
    <t xml:space="preserve">The hybrid row above is the standard resolution: hold the two dominant, batch-correlated initial-tolerance</t>
  </si>
  <si>
    <t xml:space="preserve">terms (R5 at +/-0.5 % and the Si8921 gain error at +/-0.2 %) at their limits, and RSS everything else.</t>
  </si>
  <si>
    <t xml:space="preserve">That gives 0.92 % and 0.88 %, which is what should be published.</t>
  </si>
</sst>
</file>

<file path=xl/styles.xml><?xml version="1.0" encoding="utf-8"?>
<styleSheet xmlns="http://schemas.openxmlformats.org/spreadsheetml/2006/main">
  <numFmts count="9">
    <numFmt numFmtId="164" formatCode="General"/>
    <numFmt numFmtId="165" formatCode="0.0000"/>
    <numFmt numFmtId="166" formatCode="0.000\%"/>
    <numFmt numFmtId="167" formatCode="0.0"/>
    <numFmt numFmtId="168" formatCode="0.000"/>
    <numFmt numFmtId="169" formatCode="0.00\%"/>
    <numFmt numFmtId="170" formatCode="0.0&quot; mA&quot;"/>
    <numFmt numFmtId="171" formatCode="0.0&quot; mA reading&quot;"/>
    <numFmt numFmtId="172" formatCode="\±0.0&quot; mA&quot;"/>
  </numFmts>
  <fonts count="10">
    <font>
      <sz val="11"/>
      <color theme="1"/>
      <name val="Calibri"/>
      <family val="2"/>
      <charset val="1"/>
    </font>
    <font>
      <sz val="10"/>
      <name val="Arial"/>
      <family val="0"/>
    </font>
    <font>
      <sz val="10"/>
      <name val="Arial"/>
      <family val="0"/>
    </font>
    <font>
      <sz val="10"/>
      <name val="Arial"/>
      <family val="0"/>
    </font>
    <font>
      <b val="true"/>
      <sz val="13"/>
      <color rgb="FF1F4E79"/>
      <name val="Arial"/>
      <family val="0"/>
      <charset val="1"/>
    </font>
    <font>
      <i val="true"/>
      <sz val="9"/>
      <color rgb="FF666666"/>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0"/>
      <name val="Arial"/>
      <family val="0"/>
      <charset val="1"/>
    </font>
  </fonts>
  <fills count="5">
    <fill>
      <patternFill patternType="none"/>
    </fill>
    <fill>
      <patternFill patternType="gray125"/>
    </fill>
    <fill>
      <patternFill patternType="solid">
        <fgColor rgb="FF1F4E79"/>
        <bgColor rgb="FF003366"/>
      </patternFill>
    </fill>
    <fill>
      <patternFill patternType="solid">
        <fgColor rgb="FFFFFF99"/>
        <bgColor rgb="FFCCFFCC"/>
      </patternFill>
    </fill>
    <fill>
      <patternFill patternType="solid">
        <fgColor rgb="FFF2F5F9"/>
        <bgColor rgb="FFFFFFFF"/>
      </patternFill>
    </fill>
  </fills>
  <borders count="2">
    <border diagonalUp="false" diagonalDown="false">
      <left/>
      <right/>
      <top/>
      <bottom/>
      <diagonal/>
    </border>
    <border diagonalUp="false" diagonalDown="false">
      <left style="thin">
        <color rgb="FFB7C6D6"/>
      </left>
      <right style="thin">
        <color rgb="FFB7C6D6"/>
      </right>
      <top style="thin">
        <color rgb="FFB7C6D6"/>
      </top>
      <bottom style="thin">
        <color rgb="FFB7C6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left"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9" fillId="3" borderId="1"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5" fontId="7" fillId="3" borderId="1" xfId="0" applyFont="true" applyBorder="true" applyAlignment="false" applyProtection="false">
      <alignment horizontal="general" vertical="bottom" textRotation="0" wrapText="false" indent="0" shrinkToFit="false"/>
      <protection locked="true" hidden="false"/>
    </xf>
    <xf numFmtId="167" fontId="7" fillId="3" borderId="1" xfId="0" applyFont="true" applyBorder="true" applyAlignment="false" applyProtection="false">
      <alignment horizontal="general" vertical="bottom" textRotation="0" wrapText="false" indent="0" shrinkToFit="false"/>
      <protection locked="true" hidden="false"/>
    </xf>
    <xf numFmtId="166" fontId="7" fillId="3" borderId="1"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8" fontId="9" fillId="3"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9" fontId="7" fillId="3" borderId="1" xfId="0" applyFont="true" applyBorder="true" applyAlignment="false" applyProtection="false">
      <alignment horizontal="general" vertical="bottom" textRotation="0" wrapText="false" indent="0" shrinkToFit="false"/>
      <protection locked="true" hidden="false"/>
    </xf>
    <xf numFmtId="170" fontId="7" fillId="3"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69" fontId="9" fillId="3" borderId="1" xfId="0" applyFont="true" applyBorder="true" applyAlignment="false" applyProtection="false">
      <alignment horizontal="general" vertical="bottom" textRotation="0" wrapText="false" indent="0" shrinkToFit="false"/>
      <protection locked="true" hidden="false"/>
    </xf>
    <xf numFmtId="170" fontId="9" fillId="3"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C6D6"/>
      <rgbColor rgb="FF808080"/>
      <rgbColor rgb="FF9999FF"/>
      <rgbColor rgb="FF993366"/>
      <rgbColor rgb="FFF2F5F9"/>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4"/>
    <col collapsed="false" customWidth="true" hidden="false" outlineLevel="0" max="3" min="3" style="0" width="12"/>
    <col collapsed="false" customWidth="true" hidden="false" outlineLevel="0" max="4" min="4" style="0" width="74"/>
  </cols>
  <sheetData>
    <row r="1" customFormat="false" ht="16.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5" customFormat="false" ht="15" hidden="false" customHeight="false" outlineLevel="0" collapsed="false">
      <c r="A5" s="3" t="s">
        <v>3</v>
      </c>
      <c r="B5" s="3"/>
      <c r="C5" s="3"/>
      <c r="D5" s="3"/>
    </row>
    <row r="6" customFormat="false" ht="15" hidden="false" customHeight="false" outlineLevel="0" collapsed="false">
      <c r="A6" s="4" t="s">
        <v>4</v>
      </c>
      <c r="B6" s="5" t="n">
        <v>10</v>
      </c>
      <c r="C6" s="4" t="s">
        <v>5</v>
      </c>
      <c r="D6" s="2" t="s">
        <v>6</v>
      </c>
    </row>
    <row r="7" customFormat="false" ht="15" hidden="false" customHeight="false" outlineLevel="0" collapsed="false">
      <c r="A7" s="4" t="s">
        <v>7</v>
      </c>
      <c r="B7" s="5" t="n">
        <v>5</v>
      </c>
      <c r="C7" s="4" t="s">
        <v>5</v>
      </c>
      <c r="D7" s="2" t="s">
        <v>8</v>
      </c>
    </row>
    <row r="8" customFormat="false" ht="15" hidden="false" customHeight="false" outlineLevel="0" collapsed="false">
      <c r="A8" s="4" t="s">
        <v>9</v>
      </c>
      <c r="B8" s="5" t="n">
        <v>5</v>
      </c>
      <c r="C8" s="4" t="s">
        <v>10</v>
      </c>
      <c r="D8" s="2" t="s">
        <v>11</v>
      </c>
    </row>
    <row r="9" customFormat="false" ht="15" hidden="false" customHeight="false" outlineLevel="0" collapsed="false">
      <c r="A9" s="3" t="s">
        <v>12</v>
      </c>
      <c r="B9" s="3"/>
      <c r="C9" s="3"/>
      <c r="D9" s="3"/>
    </row>
    <row r="10" customFormat="false" ht="15" hidden="false" customHeight="false" outlineLevel="0" collapsed="false">
      <c r="A10" s="4" t="s">
        <v>13</v>
      </c>
      <c r="B10" s="5" t="n">
        <v>0.01</v>
      </c>
      <c r="C10" s="4" t="s">
        <v>14</v>
      </c>
      <c r="D10" s="2" t="s">
        <v>15</v>
      </c>
    </row>
    <row r="11" customFormat="false" ht="15" hidden="false" customHeight="false" outlineLevel="0" collapsed="false">
      <c r="A11" s="4" t="s">
        <v>16</v>
      </c>
      <c r="B11" s="5" t="n">
        <v>0.5</v>
      </c>
      <c r="C11" s="4" t="s">
        <v>17</v>
      </c>
      <c r="D11" s="2" t="s">
        <v>18</v>
      </c>
    </row>
    <row r="12" customFormat="false" ht="15" hidden="false" customHeight="false" outlineLevel="0" collapsed="false">
      <c r="A12" s="4" t="s">
        <v>19</v>
      </c>
      <c r="B12" s="5" t="n">
        <v>50</v>
      </c>
      <c r="C12" s="4" t="s">
        <v>20</v>
      </c>
      <c r="D12" s="2" t="s">
        <v>21</v>
      </c>
    </row>
    <row r="13" customFormat="false" ht="15" hidden="false" customHeight="false" outlineLevel="0" collapsed="false">
      <c r="A13" s="4" t="s">
        <v>22</v>
      </c>
      <c r="B13" s="5" t="n">
        <v>3</v>
      </c>
      <c r="C13" s="4" t="s">
        <v>23</v>
      </c>
      <c r="D13" s="2" t="s">
        <v>24</v>
      </c>
    </row>
    <row r="14" customFormat="false" ht="15" hidden="false" customHeight="false" outlineLevel="0" collapsed="false">
      <c r="A14" s="4" t="s">
        <v>25</v>
      </c>
      <c r="B14" s="5" t="n">
        <v>170</v>
      </c>
      <c r="C14" s="4" t="s">
        <v>10</v>
      </c>
      <c r="D14" s="2" t="s">
        <v>26</v>
      </c>
    </row>
    <row r="15" customFormat="false" ht="15" hidden="false" customHeight="false" outlineLevel="0" collapsed="false">
      <c r="A15" s="4" t="s">
        <v>27</v>
      </c>
      <c r="B15" s="5" t="n">
        <v>70</v>
      </c>
      <c r="C15" s="4" t="s">
        <v>10</v>
      </c>
      <c r="D15" s="2" t="s">
        <v>28</v>
      </c>
    </row>
    <row r="16" customFormat="false" ht="15" hidden="false" customHeight="false" outlineLevel="0" collapsed="false">
      <c r="A16" s="4" t="s">
        <v>29</v>
      </c>
      <c r="B16" s="5" t="n">
        <v>5</v>
      </c>
      <c r="C16" s="4" t="s">
        <v>30</v>
      </c>
      <c r="D16" s="2" t="s">
        <v>31</v>
      </c>
    </row>
    <row r="17" customFormat="false" ht="15" hidden="false" customHeight="false" outlineLevel="0" collapsed="false">
      <c r="A17" s="3" t="s">
        <v>32</v>
      </c>
      <c r="B17" s="3"/>
      <c r="C17" s="3"/>
      <c r="D17" s="3"/>
    </row>
    <row r="18" customFormat="false" ht="15" hidden="false" customHeight="false" outlineLevel="0" collapsed="false">
      <c r="A18" s="4" t="s">
        <v>33</v>
      </c>
      <c r="B18" s="5" t="n">
        <v>8.2</v>
      </c>
      <c r="C18" s="4" t="s">
        <v>34</v>
      </c>
      <c r="D18" s="2" t="s">
        <v>35</v>
      </c>
    </row>
    <row r="19" customFormat="false" ht="15" hidden="false" customHeight="false" outlineLevel="0" collapsed="false">
      <c r="A19" s="4" t="s">
        <v>36</v>
      </c>
      <c r="B19" s="5" t="n">
        <v>0.2</v>
      </c>
      <c r="C19" s="4" t="s">
        <v>17</v>
      </c>
      <c r="D19" s="2" t="s">
        <v>37</v>
      </c>
    </row>
    <row r="20" customFormat="false" ht="15" hidden="false" customHeight="false" outlineLevel="0" collapsed="false">
      <c r="A20" s="4" t="s">
        <v>38</v>
      </c>
      <c r="B20" s="5" t="n">
        <v>24</v>
      </c>
      <c r="C20" s="4" t="s">
        <v>20</v>
      </c>
      <c r="D20" s="2" t="s">
        <v>39</v>
      </c>
    </row>
    <row r="21" customFormat="false" ht="15" hidden="false" customHeight="false" outlineLevel="0" collapsed="false">
      <c r="A21" s="4" t="s">
        <v>40</v>
      </c>
      <c r="B21" s="5" t="n">
        <v>0.15</v>
      </c>
      <c r="C21" s="4" t="s">
        <v>41</v>
      </c>
      <c r="D21" s="2" t="s">
        <v>42</v>
      </c>
    </row>
    <row r="22" customFormat="false" ht="15" hidden="false" customHeight="false" outlineLevel="0" collapsed="false">
      <c r="A22" s="4" t="s">
        <v>43</v>
      </c>
      <c r="B22" s="5" t="n">
        <v>3</v>
      </c>
      <c r="C22" s="4" t="s">
        <v>44</v>
      </c>
      <c r="D22" s="2" t="s">
        <v>45</v>
      </c>
    </row>
    <row r="23" customFormat="false" ht="15" hidden="false" customHeight="false" outlineLevel="0" collapsed="false">
      <c r="A23" s="4" t="s">
        <v>46</v>
      </c>
      <c r="B23" s="5" t="n">
        <v>0.08</v>
      </c>
      <c r="C23" s="4" t="s">
        <v>47</v>
      </c>
      <c r="D23" s="2" t="s">
        <v>48</v>
      </c>
    </row>
    <row r="24" customFormat="false" ht="15" hidden="false" customHeight="false" outlineLevel="0" collapsed="false">
      <c r="A24" s="3" t="s">
        <v>49</v>
      </c>
      <c r="B24" s="3"/>
      <c r="C24" s="3"/>
      <c r="D24" s="3"/>
    </row>
    <row r="25" customFormat="false" ht="15" hidden="false" customHeight="false" outlineLevel="0" collapsed="false">
      <c r="A25" s="4" t="s">
        <v>50</v>
      </c>
      <c r="B25" s="5" t="n">
        <v>0.05</v>
      </c>
      <c r="C25" s="4" t="s">
        <v>17</v>
      </c>
      <c r="D25" s="2" t="s">
        <v>51</v>
      </c>
    </row>
    <row r="26" customFormat="false" ht="15" hidden="false" customHeight="false" outlineLevel="0" collapsed="false">
      <c r="A26" s="4" t="s">
        <v>52</v>
      </c>
      <c r="B26" s="5" t="n">
        <v>10</v>
      </c>
      <c r="C26" s="4" t="s">
        <v>20</v>
      </c>
      <c r="D26" s="2" t="s">
        <v>53</v>
      </c>
    </row>
    <row r="27" customFormat="false" ht="15" hidden="false" customHeight="false" outlineLevel="0" collapsed="false">
      <c r="A27" s="4" t="s">
        <v>54</v>
      </c>
      <c r="B27" s="5" t="n">
        <v>0.1</v>
      </c>
      <c r="C27" s="4" t="s">
        <v>17</v>
      </c>
      <c r="D27" s="2" t="s">
        <v>55</v>
      </c>
    </row>
    <row r="28" customFormat="false" ht="15" hidden="false" customHeight="false" outlineLevel="0" collapsed="false">
      <c r="A28" s="4" t="s">
        <v>56</v>
      </c>
      <c r="B28" s="5" t="n">
        <v>25</v>
      </c>
      <c r="C28" s="4" t="s">
        <v>20</v>
      </c>
      <c r="D28" s="2" t="s">
        <v>57</v>
      </c>
    </row>
    <row r="29" customFormat="false" ht="15" hidden="false" customHeight="false" outlineLevel="0" collapsed="false">
      <c r="A29" s="3" t="s">
        <v>58</v>
      </c>
      <c r="B29" s="3"/>
      <c r="C29" s="3"/>
      <c r="D29" s="3"/>
    </row>
    <row r="30" customFormat="false" ht="15" hidden="false" customHeight="false" outlineLevel="0" collapsed="false">
      <c r="A30" s="4" t="s">
        <v>59</v>
      </c>
      <c r="B30" s="5" t="n">
        <v>1410</v>
      </c>
      <c r="C30" s="4" t="s">
        <v>14</v>
      </c>
      <c r="D30" s="2" t="s">
        <v>60</v>
      </c>
    </row>
    <row r="31" customFormat="false" ht="15" hidden="false" customHeight="false" outlineLevel="0" collapsed="false">
      <c r="A31" s="4" t="s">
        <v>61</v>
      </c>
      <c r="B31" s="5" t="n">
        <v>156.67</v>
      </c>
      <c r="C31" s="4" t="s">
        <v>14</v>
      </c>
      <c r="D31" s="2" t="s">
        <v>62</v>
      </c>
    </row>
    <row r="32" customFormat="false" ht="15" hidden="false" customHeight="false" outlineLevel="0" collapsed="false">
      <c r="A32" s="4" t="s">
        <v>63</v>
      </c>
      <c r="B32" s="5" t="n">
        <v>0.1</v>
      </c>
      <c r="C32" s="4" t="s">
        <v>17</v>
      </c>
      <c r="D32" s="2" t="s">
        <v>64</v>
      </c>
    </row>
    <row r="33" customFormat="false" ht="15" hidden="false" customHeight="false" outlineLevel="0" collapsed="false">
      <c r="A33" s="4" t="s">
        <v>65</v>
      </c>
      <c r="B33" s="5" t="n">
        <v>25</v>
      </c>
      <c r="C33" s="4" t="s">
        <v>20</v>
      </c>
      <c r="D33" s="2" t="s">
        <v>66</v>
      </c>
    </row>
    <row r="34" customFormat="false" ht="15" hidden="false" customHeight="false" outlineLevel="0" collapsed="false">
      <c r="A34" s="4" t="s">
        <v>67</v>
      </c>
      <c r="B34" s="5" t="n">
        <v>0.1</v>
      </c>
      <c r="C34" s="4" t="s">
        <v>14</v>
      </c>
      <c r="D34" s="2" t="s">
        <v>68</v>
      </c>
    </row>
    <row r="35" customFormat="false" ht="15" hidden="false" customHeight="false" outlineLevel="0" collapsed="false">
      <c r="A35" s="3" t="s">
        <v>69</v>
      </c>
      <c r="B35" s="3"/>
      <c r="C35" s="3"/>
      <c r="D35" s="3"/>
    </row>
    <row r="36" customFormat="false" ht="15" hidden="false" customHeight="false" outlineLevel="0" collapsed="false">
      <c r="A36" s="4" t="s">
        <v>70</v>
      </c>
      <c r="B36" s="5" t="n">
        <v>100</v>
      </c>
      <c r="C36" s="4" t="s">
        <v>14</v>
      </c>
      <c r="D36" s="2" t="s">
        <v>71</v>
      </c>
    </row>
    <row r="37" customFormat="false" ht="15" hidden="false" customHeight="false" outlineLevel="0" collapsed="false">
      <c r="A37" s="4" t="s">
        <v>72</v>
      </c>
      <c r="B37" s="5" t="n">
        <v>100000</v>
      </c>
      <c r="C37" s="4" t="s">
        <v>14</v>
      </c>
      <c r="D37" s="2" t="s">
        <v>73</v>
      </c>
    </row>
    <row r="38" customFormat="false" ht="15" hidden="false" customHeight="false" outlineLevel="0" collapsed="false">
      <c r="A38" s="4" t="s">
        <v>74</v>
      </c>
      <c r="B38" s="5" t="n">
        <v>0.1</v>
      </c>
      <c r="C38" s="4" t="s">
        <v>17</v>
      </c>
      <c r="D38" s="2" t="s">
        <v>75</v>
      </c>
    </row>
    <row r="39" customFormat="false" ht="15" hidden="false" customHeight="false" outlineLevel="0" collapsed="false">
      <c r="A39" s="4" t="s">
        <v>76</v>
      </c>
      <c r="B39" s="5" t="n">
        <v>12</v>
      </c>
      <c r="C39" s="4" t="s">
        <v>77</v>
      </c>
      <c r="D39" s="2" t="s">
        <v>78</v>
      </c>
    </row>
    <row r="40" customFormat="false" ht="15" hidden="false" customHeight="false" outlineLevel="0" collapsed="false">
      <c r="A40" s="4" t="s">
        <v>79</v>
      </c>
      <c r="B40" s="5" t="n">
        <v>1</v>
      </c>
      <c r="C40" s="4" t="s">
        <v>80</v>
      </c>
      <c r="D40" s="2" t="s">
        <v>81</v>
      </c>
    </row>
    <row r="41" customFormat="false" ht="15" hidden="false" customHeight="false" outlineLevel="0" collapsed="false">
      <c r="A41" s="3" t="s">
        <v>82</v>
      </c>
      <c r="B41" s="3"/>
      <c r="C41" s="3"/>
      <c r="D41" s="3"/>
    </row>
    <row r="42" customFormat="false" ht="15" hidden="false" customHeight="false" outlineLevel="0" collapsed="false">
      <c r="A42" s="4" t="s">
        <v>83</v>
      </c>
      <c r="B42" s="5" t="n">
        <v>60000</v>
      </c>
      <c r="C42" s="4" t="s">
        <v>14</v>
      </c>
      <c r="D42" s="2" t="s">
        <v>84</v>
      </c>
    </row>
    <row r="43" customFormat="false" ht="15" hidden="false" customHeight="false" outlineLevel="0" collapsed="false">
      <c r="A43" s="4" t="s">
        <v>85</v>
      </c>
      <c r="B43" s="5" t="n">
        <v>50000</v>
      </c>
      <c r="C43" s="4" t="s">
        <v>14</v>
      </c>
      <c r="D43" s="2" t="s">
        <v>86</v>
      </c>
    </row>
    <row r="44" customFormat="false" ht="15" hidden="false" customHeight="false" outlineLevel="0" collapsed="false">
      <c r="A44" s="4" t="s">
        <v>87</v>
      </c>
      <c r="B44" s="5" t="n">
        <v>50</v>
      </c>
      <c r="C44" s="4" t="s">
        <v>88</v>
      </c>
      <c r="D44" s="2" t="s">
        <v>89</v>
      </c>
    </row>
    <row r="45" customFormat="false" ht="15" hidden="false" customHeight="false" outlineLevel="0" collapsed="false">
      <c r="A45" s="4" t="s">
        <v>90</v>
      </c>
      <c r="B45" s="5" t="n">
        <v>20</v>
      </c>
      <c r="C45" s="4" t="s">
        <v>17</v>
      </c>
      <c r="D45" s="2" t="s">
        <v>91</v>
      </c>
    </row>
    <row r="46" customFormat="false" ht="15" hidden="false" customHeight="false" outlineLevel="0" collapsed="false">
      <c r="A46" s="4" t="s">
        <v>92</v>
      </c>
      <c r="B46" s="5" t="n">
        <v>1</v>
      </c>
      <c r="C46" s="4" t="s">
        <v>93</v>
      </c>
      <c r="D46" s="2" t="s">
        <v>94</v>
      </c>
    </row>
    <row r="47" customFormat="false" ht="15" hidden="false" customHeight="false" outlineLevel="0" collapsed="false">
      <c r="A47" s="4" t="s">
        <v>95</v>
      </c>
      <c r="B47" s="5" t="n">
        <v>5</v>
      </c>
      <c r="C47" s="4" t="s">
        <v>41</v>
      </c>
      <c r="D47" s="2" t="s">
        <v>96</v>
      </c>
    </row>
    <row r="48" customFormat="false" ht="15" hidden="false" customHeight="false" outlineLevel="0" collapsed="false">
      <c r="A48" s="4" t="s">
        <v>97</v>
      </c>
      <c r="B48" s="5" t="n">
        <v>0.35</v>
      </c>
      <c r="C48" s="4" t="s">
        <v>41</v>
      </c>
      <c r="D48" s="2" t="s">
        <v>98</v>
      </c>
    </row>
    <row r="49" customFormat="false" ht="15" hidden="false" customHeight="false" outlineLevel="0" collapsed="false">
      <c r="A49" s="4" t="s">
        <v>99</v>
      </c>
      <c r="B49" s="5" t="n">
        <v>2.5</v>
      </c>
      <c r="C49" s="4" t="s">
        <v>44</v>
      </c>
      <c r="D49" s="2" t="s">
        <v>100</v>
      </c>
    </row>
    <row r="51" customFormat="false" ht="15" hidden="false" customHeight="false" outlineLevel="0" collapsed="false">
      <c r="A51" s="3" t="s">
        <v>101</v>
      </c>
      <c r="B51" s="3"/>
      <c r="C51" s="3"/>
      <c r="D51" s="3"/>
    </row>
    <row r="52" customFormat="false" ht="15" hidden="false" customHeight="false" outlineLevel="0" collapsed="false">
      <c r="A52" s="4" t="s">
        <v>102</v>
      </c>
      <c r="B52" s="6" t="n">
        <f aca="false">(Assumptions!$B$14-Assumptions!$B$15)/Assumptions!$B$13</f>
        <v>33.3333333333333</v>
      </c>
      <c r="C52" s="4" t="s">
        <v>103</v>
      </c>
      <c r="D52" s="2" t="s">
        <v>104</v>
      </c>
    </row>
    <row r="53" customFormat="false" ht="15" hidden="false" customHeight="false" outlineLevel="0" collapsed="false">
      <c r="A53" s="4" t="s">
        <v>105</v>
      </c>
      <c r="B53" s="6" t="n">
        <f aca="false">Assumptions!$B$39*Assumptions!$B$36/(2*Assumptions!$B$37+Assumptions!$B$36)*1000</f>
        <v>5.99700149925037</v>
      </c>
      <c r="C53" s="4" t="s">
        <v>41</v>
      </c>
    </row>
    <row r="54" customFormat="false" ht="15" hidden="false" customHeight="false" outlineLevel="0" collapsed="false">
      <c r="A54" s="4" t="s">
        <v>106</v>
      </c>
      <c r="B54" s="6" t="n">
        <f aca="false">B53*Assumptions!$B$40/100</f>
        <v>0.0599700149925037</v>
      </c>
      <c r="C54" s="4" t="s">
        <v>41</v>
      </c>
    </row>
    <row r="56" customFormat="false" ht="15" hidden="false" customHeight="false" outlineLevel="0" collapsed="false">
      <c r="A56" s="7" t="s">
        <v>107</v>
      </c>
      <c r="B56" s="8"/>
      <c r="C56" s="8"/>
      <c r="D56" s="8"/>
    </row>
    <row r="57" customFormat="false" ht="15" hidden="false" customHeight="false" outlineLevel="0" collapsed="false">
      <c r="A57" s="4" t="s">
        <v>108</v>
      </c>
      <c r="B57" s="6" t="n">
        <f aca="false">Assumptions!$B$6^2*Assumptions!$B$10</f>
        <v>1</v>
      </c>
      <c r="C57" s="4" t="s">
        <v>23</v>
      </c>
      <c r="D57" s="2" t="s">
        <v>109</v>
      </c>
    </row>
    <row r="58" customFormat="false" ht="15" hidden="false" customHeight="false" outlineLevel="0" collapsed="false">
      <c r="A58" s="4" t="s">
        <v>110</v>
      </c>
      <c r="B58" s="6" t="n">
        <f aca="false">B57*Assumptions!$B$52</f>
        <v>33.3333333333333</v>
      </c>
      <c r="C58" s="4" t="s">
        <v>10</v>
      </c>
    </row>
    <row r="59" customFormat="false" ht="15" hidden="false" customHeight="false" outlineLevel="0" collapsed="false">
      <c r="A59" s="4" t="s">
        <v>111</v>
      </c>
      <c r="B59" s="6" t="n">
        <f aca="false">Assumptions!$B$6*Assumptions!$B$10*1000</f>
        <v>100</v>
      </c>
      <c r="C59" s="4" t="s">
        <v>41</v>
      </c>
    </row>
    <row r="60" customFormat="false" ht="15" hidden="false" customHeight="false" outlineLevel="0" collapsed="false">
      <c r="A60" s="4" t="s">
        <v>112</v>
      </c>
      <c r="B60" s="6" t="n">
        <f aca="false">Assumptions!$B$6*Assumptions!$B$10*10</f>
        <v>1</v>
      </c>
      <c r="C60" s="4" t="s">
        <v>77</v>
      </c>
      <c r="D60" s="2" t="s">
        <v>113</v>
      </c>
    </row>
    <row r="62" customFormat="false" ht="15" hidden="false" customHeight="false" outlineLevel="0" collapsed="false">
      <c r="A62" s="7" t="s">
        <v>114</v>
      </c>
      <c r="B62" s="8"/>
      <c r="C62" s="8"/>
      <c r="D62" s="8"/>
    </row>
    <row r="63" customFormat="false" ht="15" hidden="false" customHeight="false" outlineLevel="0" collapsed="false">
      <c r="A63" s="4" t="s">
        <v>108</v>
      </c>
      <c r="B63" s="6" t="n">
        <f aca="false">Assumptions!$B$7^2*Assumptions!$B$10</f>
        <v>0.25</v>
      </c>
      <c r="C63" s="4" t="s">
        <v>23</v>
      </c>
      <c r="D63" s="2" t="s">
        <v>109</v>
      </c>
    </row>
    <row r="64" customFormat="false" ht="15" hidden="false" customHeight="false" outlineLevel="0" collapsed="false">
      <c r="A64" s="4" t="s">
        <v>110</v>
      </c>
      <c r="B64" s="6" t="n">
        <f aca="false">B63*Assumptions!$B$52</f>
        <v>8.33333333333333</v>
      </c>
      <c r="C64" s="4" t="s">
        <v>10</v>
      </c>
    </row>
    <row r="65" customFormat="false" ht="15" hidden="false" customHeight="false" outlineLevel="0" collapsed="false">
      <c r="A65" s="4" t="s">
        <v>111</v>
      </c>
      <c r="B65" s="6" t="n">
        <f aca="false">Assumptions!$B$7*Assumptions!$B$10*1000</f>
        <v>50</v>
      </c>
      <c r="C65" s="4" t="s">
        <v>41</v>
      </c>
    </row>
    <row r="66" customFormat="false" ht="15" hidden="false" customHeight="false" outlineLevel="0" collapsed="false">
      <c r="A66" s="4" t="s">
        <v>112</v>
      </c>
      <c r="B66" s="6" t="n">
        <f aca="false">Assumptions!$B$7*Assumptions!$B$10*100</f>
        <v>5</v>
      </c>
      <c r="C66" s="4" t="s">
        <v>77</v>
      </c>
      <c r="D66" s="2" t="s">
        <v>113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3"/>
    <col collapsed="false" customWidth="true" hidden="false" outlineLevel="0" max="3" min="3" style="0" width="15"/>
    <col collapsed="false" customWidth="true" hidden="false" outlineLevel="0" max="4" min="4" style="0" width="66"/>
  </cols>
  <sheetData>
    <row r="1" customFormat="false" ht="16.15" hidden="false" customHeight="false" outlineLevel="0" collapsed="false">
      <c r="A1" s="1" t="s">
        <v>115</v>
      </c>
    </row>
    <row r="2" customFormat="false" ht="15" hidden="false" customHeight="false" outlineLevel="0" collapsed="false">
      <c r="A2" s="2" t="s">
        <v>116</v>
      </c>
    </row>
    <row r="4" customFormat="false" ht="15" hidden="false" customHeight="false" outlineLevel="0" collapsed="false">
      <c r="A4" s="9" t="s">
        <v>117</v>
      </c>
      <c r="B4" s="9" t="s">
        <v>118</v>
      </c>
      <c r="C4" s="10" t="s">
        <v>119</v>
      </c>
      <c r="D4" s="9" t="s">
        <v>120</v>
      </c>
    </row>
    <row r="5" customFormat="false" ht="15" hidden="false" customHeight="false" outlineLevel="0" collapsed="false">
      <c r="A5" s="11" t="s">
        <v>121</v>
      </c>
      <c r="B5" s="12"/>
      <c r="C5" s="12"/>
      <c r="D5" s="12"/>
    </row>
    <row r="6" customFormat="false" ht="15" hidden="false" customHeight="false" outlineLevel="0" collapsed="false">
      <c r="A6" s="4" t="s">
        <v>122</v>
      </c>
      <c r="B6" s="13" t="n">
        <f aca="false">Assumptions!$B$11</f>
        <v>0.5</v>
      </c>
      <c r="C6" s="14" t="s">
        <v>123</v>
      </c>
      <c r="D6" s="15" t="s">
        <v>124</v>
      </c>
    </row>
    <row r="7" customFormat="false" ht="22.35" hidden="false" customHeight="false" outlineLevel="0" collapsed="false">
      <c r="A7" s="4" t="s">
        <v>125</v>
      </c>
      <c r="B7" s="13" t="n">
        <f aca="false">Assumptions!$B$58*Assumptions!$B$12/10000</f>
        <v>0.166666666666667</v>
      </c>
      <c r="C7" s="14" t="s">
        <v>126</v>
      </c>
      <c r="D7" s="15" t="s">
        <v>127</v>
      </c>
    </row>
    <row r="8" customFormat="false" ht="15" hidden="false" customHeight="false" outlineLevel="0" collapsed="false">
      <c r="A8" s="4" t="s">
        <v>128</v>
      </c>
      <c r="B8" s="13" t="n">
        <f aca="false">Assumptions!$B$8*Assumptions!$B$12/10000</f>
        <v>0.025</v>
      </c>
      <c r="C8" s="14" t="s">
        <v>126</v>
      </c>
      <c r="D8" s="15" t="s">
        <v>129</v>
      </c>
    </row>
    <row r="9" customFormat="false" ht="15" hidden="false" customHeight="false" outlineLevel="0" collapsed="false">
      <c r="A9" s="4" t="s">
        <v>130</v>
      </c>
      <c r="B9" s="13" t="n">
        <f aca="false">Assumptions!$B$19</f>
        <v>0.2</v>
      </c>
      <c r="C9" s="14" t="s">
        <v>123</v>
      </c>
      <c r="D9" s="15" t="s">
        <v>131</v>
      </c>
    </row>
    <row r="10" customFormat="false" ht="15" hidden="false" customHeight="false" outlineLevel="0" collapsed="false">
      <c r="A10" s="4" t="s">
        <v>132</v>
      </c>
      <c r="B10" s="13" t="n">
        <f aca="false">Assumptions!$B$8*Assumptions!$B$20/10000</f>
        <v>0.012</v>
      </c>
      <c r="C10" s="14" t="s">
        <v>126</v>
      </c>
      <c r="D10" s="15" t="s">
        <v>133</v>
      </c>
    </row>
    <row r="11" customFormat="false" ht="15" hidden="false" customHeight="false" outlineLevel="0" collapsed="false">
      <c r="A11" s="4" t="s">
        <v>134</v>
      </c>
      <c r="B11" s="13" t="n">
        <f aca="false">SQRT(Assumptions!$B$25^2+Assumptions!$B$27^2)</f>
        <v>0.11180339887499</v>
      </c>
      <c r="C11" s="14" t="s">
        <v>123</v>
      </c>
      <c r="D11" s="15" t="s">
        <v>135</v>
      </c>
    </row>
    <row r="12" customFormat="false" ht="22.35" hidden="false" customHeight="false" outlineLevel="0" collapsed="false">
      <c r="A12" s="4" t="s">
        <v>136</v>
      </c>
      <c r="B12" s="13" t="n">
        <f aca="false">(Assumptions!$B$26+Assumptions!$B$28)*Assumptions!$B$8/10000</f>
        <v>0.0175</v>
      </c>
      <c r="C12" s="14" t="s">
        <v>126</v>
      </c>
      <c r="D12" s="15" t="s">
        <v>137</v>
      </c>
    </row>
    <row r="13" customFormat="false" ht="15" hidden="false" customHeight="false" outlineLevel="0" collapsed="false">
      <c r="A13" s="11" t="s">
        <v>138</v>
      </c>
      <c r="B13" s="12"/>
      <c r="C13" s="12"/>
      <c r="D13" s="12"/>
    </row>
    <row r="14" customFormat="false" ht="22.35" hidden="false" customHeight="false" outlineLevel="0" collapsed="false">
      <c r="A14" s="4" t="s">
        <v>139</v>
      </c>
      <c r="B14" s="13" t="n">
        <f aca="false">Assumptions!$B$21/1000*(Assumptions!$B$18*10/8.2*1)/Assumptions!$B$60*100</f>
        <v>0.15</v>
      </c>
      <c r="C14" s="14" t="s">
        <v>140</v>
      </c>
      <c r="D14" s="15" t="s">
        <v>141</v>
      </c>
    </row>
    <row r="15" customFormat="false" ht="32.8" hidden="false" customHeight="false" outlineLevel="0" collapsed="false">
      <c r="A15" s="4" t="s">
        <v>142</v>
      </c>
      <c r="B15" s="13" t="n">
        <f aca="false">Assumptions!$B$47*SQRT(2)/1000*1/Assumptions!$B$60*100</f>
        <v>0.707106781186548</v>
      </c>
      <c r="C15" s="14" t="s">
        <v>140</v>
      </c>
      <c r="D15" s="15" t="s">
        <v>143</v>
      </c>
    </row>
    <row r="16" customFormat="false" ht="22.35" hidden="false" customHeight="false" outlineLevel="0" collapsed="false">
      <c r="A16" s="4" t="s">
        <v>144</v>
      </c>
      <c r="B16" s="13" t="n">
        <f aca="false">Assumptions!$B$39*Assumptions!$B$38/100/4*SQRT(4)*1/Assumptions!$B$60*100</f>
        <v>0.6</v>
      </c>
      <c r="C16" s="14" t="s">
        <v>140</v>
      </c>
      <c r="D16" s="15" t="s">
        <v>145</v>
      </c>
    </row>
    <row r="17" customFormat="false" ht="22.35" hidden="false" customHeight="false" outlineLevel="0" collapsed="false">
      <c r="A17" s="4" t="s">
        <v>146</v>
      </c>
      <c r="B17" s="13" t="n">
        <f aca="false">Assumptions!$B$44*0.000000001*(Assumptions!$B$42-Assumptions!$B$43)*1/Assumptions!$B$60*100</f>
        <v>0.05</v>
      </c>
      <c r="C17" s="14" t="s">
        <v>140</v>
      </c>
      <c r="D17" s="15" t="s">
        <v>147</v>
      </c>
    </row>
    <row r="18" customFormat="false" ht="15" hidden="false" customHeight="false" outlineLevel="0" collapsed="false">
      <c r="A18" s="4" t="s">
        <v>148</v>
      </c>
      <c r="B18" s="13" t="n">
        <f aca="false">Assumptions!$B$49*Assumptions!$B$8*SQRT(2)/1000000*1/Assumptions!$B$60*100</f>
        <v>0.00176776695296637</v>
      </c>
      <c r="C18" s="14" t="s">
        <v>126</v>
      </c>
      <c r="D18" s="15" t="s">
        <v>149</v>
      </c>
    </row>
    <row r="19" customFormat="false" ht="32.8" hidden="false" customHeight="false" outlineLevel="0" collapsed="false">
      <c r="A19" s="4" t="s">
        <v>150</v>
      </c>
      <c r="B19" s="13" t="n">
        <f aca="false">Assumptions!$B$22*Assumptions!$B$8/1000*(Assumptions!$B$18*10/8.2*1)/Assumptions!$B$60/10</f>
        <v>0.015</v>
      </c>
      <c r="C19" s="14" t="s">
        <v>126</v>
      </c>
      <c r="D19" s="15" t="s">
        <v>151</v>
      </c>
    </row>
    <row r="20" customFormat="false" ht="22.35" hidden="false" customHeight="false" outlineLevel="0" collapsed="false">
      <c r="A20" s="4" t="s">
        <v>152</v>
      </c>
      <c r="B20" s="13" t="n">
        <f aca="false">Assumptions!$B$16/1000*(Assumptions!$B$18*10/8.2*1)/Assumptions!$B$60/10</f>
        <v>0.005</v>
      </c>
      <c r="C20" s="14" t="s">
        <v>153</v>
      </c>
      <c r="D20" s="15" t="s">
        <v>154</v>
      </c>
    </row>
    <row r="21" customFormat="false" ht="15" hidden="false" customHeight="false" outlineLevel="0" collapsed="false">
      <c r="A21" s="4" t="s">
        <v>155</v>
      </c>
      <c r="B21" s="13" t="n">
        <f aca="false">Assumptions!$B$23</f>
        <v>0.08</v>
      </c>
      <c r="C21" s="14" t="s">
        <v>126</v>
      </c>
      <c r="D21" s="15" t="s">
        <v>156</v>
      </c>
    </row>
    <row r="22" customFormat="false" ht="22.35" hidden="false" customHeight="false" outlineLevel="0" collapsed="false">
      <c r="A22" s="4" t="s">
        <v>157</v>
      </c>
      <c r="B22" s="13" t="n">
        <f aca="false">Assumptions!$B$54*1/(Assumptions!$B$60*1000)*100</f>
        <v>0.00599700149925038</v>
      </c>
      <c r="C22" s="14" t="s">
        <v>126</v>
      </c>
      <c r="D22" s="15" t="s">
        <v>158</v>
      </c>
    </row>
    <row r="23" customFormat="false" ht="53.7" hidden="false" customHeight="false" outlineLevel="0" collapsed="false">
      <c r="A23" s="4" t="s">
        <v>159</v>
      </c>
      <c r="B23" s="13" t="n">
        <f aca="false">Assumptions!$B$46*Assumptions!$B$8/100*Assumptions!$B$44*0.000000001*((Assumptions!$B$42-Assumptions!$B$43)+Assumptions!$B$45/100*(Assumptions!$B$42+Assumptions!$B$43)/2)*1/Assumptions!$B$60*100</f>
        <v>0.00525</v>
      </c>
      <c r="C23" s="14" t="s">
        <v>126</v>
      </c>
      <c r="D23" s="15" t="s">
        <v>160</v>
      </c>
    </row>
    <row r="25" customFormat="false" ht="15" hidden="false" customHeight="false" outlineLevel="0" collapsed="false">
      <c r="A25" s="3" t="s">
        <v>161</v>
      </c>
      <c r="B25" s="3"/>
      <c r="C25" s="3"/>
      <c r="D25" s="3"/>
    </row>
    <row r="26" customFormat="false" ht="22.35" hidden="false" customHeight="false" outlineLevel="0" collapsed="false">
      <c r="A26" s="16" t="s">
        <v>162</v>
      </c>
      <c r="B26" s="17" t="n">
        <f aca="false">SUM(B6,B7,B8,B9,B10,B11,B12)+SUM(B14,B15,B16,B17,B18,B19,B20,B21,B22,B23)</f>
        <v>2.65309161518042</v>
      </c>
      <c r="D26" s="15" t="s">
        <v>163</v>
      </c>
    </row>
    <row r="27" customFormat="false" ht="15" hidden="false" customHeight="false" outlineLevel="0" collapsed="false">
      <c r="A27" s="16" t="s">
        <v>164</v>
      </c>
      <c r="B27" s="17" t="n">
        <f aca="false">SQRT(SUMSQ(B6,B7,B8,B9,B10,B11,B12)+SUMSQ(B14,B15,B16,B17,B18,B19,B20,B21,B22,B23))</f>
        <v>1.10592480725624</v>
      </c>
      <c r="D27" s="15" t="s">
        <v>165</v>
      </c>
    </row>
    <row r="28" customFormat="false" ht="22.35" hidden="false" customHeight="false" outlineLevel="0" collapsed="false">
      <c r="A28" s="16" t="s">
        <v>166</v>
      </c>
      <c r="B28" s="17" t="n">
        <f aca="false">SUMIF($C$6:$C$23,"No",$B$6:$B$23)+SUMIF($C$6:$C$23,"Partly",$B$6:$B$23)+SUMIF($C$6:$C$23,"Scale factor",$B$6:$B$23)</f>
        <v>1.14598483399387</v>
      </c>
      <c r="D28" s="15" t="s">
        <v>167</v>
      </c>
    </row>
    <row r="29" customFormat="false" ht="15" hidden="false" customHeight="false" outlineLevel="0" collapsed="false">
      <c r="A29" s="16" t="s">
        <v>168</v>
      </c>
      <c r="B29" s="17" t="n">
        <f aca="false">SQRT(SUMPRODUCT((($C$6:$C$23&lt;&gt;"R28 trim"))*$B$6:$B$23^2))</f>
        <v>0.581437597085672</v>
      </c>
      <c r="D29" s="15" t="s">
        <v>169</v>
      </c>
    </row>
    <row r="30" customFormat="false" ht="32.8" hidden="false" customHeight="false" outlineLevel="0" collapsed="false">
      <c r="A30" s="16" t="s">
        <v>170</v>
      </c>
      <c r="B30" s="17" t="n">
        <f aca="false">SUMIF($C$6:$C$23,"No",$B$6:$B$23)+SUMIF($C$6:$C$23,"Partly",$B$6:$B$23)</f>
        <v>0.334181435118883</v>
      </c>
      <c r="D30" s="15" t="s">
        <v>171</v>
      </c>
    </row>
    <row r="31" customFormat="false" ht="22.35" hidden="false" customHeight="false" outlineLevel="0" collapsed="false">
      <c r="A31" s="16" t="s">
        <v>172</v>
      </c>
      <c r="B31" s="17" t="n">
        <f aca="false">SQRT(SUMPRODUCT((($C$6:$C$23="No")+($C$6:$C$23="Partly"))*$B$6:$B$23^2))</f>
        <v>0.1885992558436</v>
      </c>
      <c r="D31" s="15" t="s">
        <v>173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3"/>
    <col collapsed="false" customWidth="true" hidden="false" outlineLevel="0" max="3" min="3" style="0" width="15"/>
    <col collapsed="false" customWidth="true" hidden="false" outlineLevel="0" max="4" min="4" style="0" width="66"/>
  </cols>
  <sheetData>
    <row r="1" customFormat="false" ht="16.15" hidden="false" customHeight="false" outlineLevel="0" collapsed="false">
      <c r="A1" s="1" t="s">
        <v>174</v>
      </c>
    </row>
    <row r="2" customFormat="false" ht="15" hidden="false" customHeight="false" outlineLevel="0" collapsed="false">
      <c r="A2" s="2" t="s">
        <v>116</v>
      </c>
    </row>
    <row r="4" customFormat="false" ht="15" hidden="false" customHeight="false" outlineLevel="0" collapsed="false">
      <c r="A4" s="9" t="s">
        <v>117</v>
      </c>
      <c r="B4" s="9" t="s">
        <v>118</v>
      </c>
      <c r="C4" s="10" t="s">
        <v>119</v>
      </c>
      <c r="D4" s="9" t="s">
        <v>120</v>
      </c>
    </row>
    <row r="5" customFormat="false" ht="15" hidden="false" customHeight="false" outlineLevel="0" collapsed="false">
      <c r="A5" s="11" t="s">
        <v>121</v>
      </c>
      <c r="B5" s="12"/>
      <c r="C5" s="12"/>
      <c r="D5" s="12"/>
    </row>
    <row r="6" customFormat="false" ht="15" hidden="false" customHeight="false" outlineLevel="0" collapsed="false">
      <c r="A6" s="4" t="s">
        <v>122</v>
      </c>
      <c r="B6" s="13" t="n">
        <f aca="false">Assumptions!$B$11</f>
        <v>0.5</v>
      </c>
      <c r="C6" s="14" t="s">
        <v>123</v>
      </c>
      <c r="D6" s="15" t="s">
        <v>124</v>
      </c>
    </row>
    <row r="7" customFormat="false" ht="22.35" hidden="false" customHeight="false" outlineLevel="0" collapsed="false">
      <c r="A7" s="4" t="s">
        <v>125</v>
      </c>
      <c r="B7" s="13" t="n">
        <f aca="false">Assumptions!$B$64*Assumptions!$B$12/10000</f>
        <v>0.0416666666666667</v>
      </c>
      <c r="C7" s="14" t="s">
        <v>126</v>
      </c>
      <c r="D7" s="15" t="s">
        <v>127</v>
      </c>
    </row>
    <row r="8" customFormat="false" ht="15" hidden="false" customHeight="false" outlineLevel="0" collapsed="false">
      <c r="A8" s="4" t="s">
        <v>128</v>
      </c>
      <c r="B8" s="13" t="n">
        <f aca="false">Assumptions!$B$8*Assumptions!$B$12/10000</f>
        <v>0.025</v>
      </c>
      <c r="C8" s="14" t="s">
        <v>126</v>
      </c>
      <c r="D8" s="15" t="s">
        <v>129</v>
      </c>
    </row>
    <row r="9" customFormat="false" ht="15" hidden="false" customHeight="false" outlineLevel="0" collapsed="false">
      <c r="A9" s="4" t="s">
        <v>130</v>
      </c>
      <c r="B9" s="13" t="n">
        <f aca="false">Assumptions!$B$19</f>
        <v>0.2</v>
      </c>
      <c r="C9" s="14" t="s">
        <v>123</v>
      </c>
      <c r="D9" s="15" t="s">
        <v>131</v>
      </c>
    </row>
    <row r="10" customFormat="false" ht="15" hidden="false" customHeight="false" outlineLevel="0" collapsed="false">
      <c r="A10" s="4" t="s">
        <v>132</v>
      </c>
      <c r="B10" s="13" t="n">
        <f aca="false">Assumptions!$B$8*Assumptions!$B$20/10000</f>
        <v>0.012</v>
      </c>
      <c r="C10" s="14" t="s">
        <v>126</v>
      </c>
      <c r="D10" s="15" t="s">
        <v>133</v>
      </c>
    </row>
    <row r="11" customFormat="false" ht="15" hidden="false" customHeight="false" outlineLevel="0" collapsed="false">
      <c r="A11" s="4" t="s">
        <v>134</v>
      </c>
      <c r="B11" s="13" t="n">
        <f aca="false">SQRT(Assumptions!$B$25^2+Assumptions!$B$27^2)</f>
        <v>0.11180339887499</v>
      </c>
      <c r="C11" s="14" t="s">
        <v>123</v>
      </c>
      <c r="D11" s="15" t="s">
        <v>135</v>
      </c>
    </row>
    <row r="12" customFormat="false" ht="22.35" hidden="false" customHeight="false" outlineLevel="0" collapsed="false">
      <c r="A12" s="4" t="s">
        <v>136</v>
      </c>
      <c r="B12" s="13" t="n">
        <f aca="false">(Assumptions!$B$26+Assumptions!$B$28)*Assumptions!$B$8/10000</f>
        <v>0.0175</v>
      </c>
      <c r="C12" s="14" t="s">
        <v>126</v>
      </c>
      <c r="D12" s="15" t="s">
        <v>137</v>
      </c>
    </row>
    <row r="13" customFormat="false" ht="22.35" hidden="false" customHeight="false" outlineLevel="0" collapsed="false">
      <c r="A13" s="4" t="s">
        <v>175</v>
      </c>
      <c r="B13" s="13" t="n">
        <f aca="false">(Assumptions!$B$30/Assumptions!$B$31)/(1+Assumptions!$B$30/Assumptions!$B$31)*SQRT((Assumptions!$B$32/SQRT(3))^2*2)</f>
        <v>0.0734845359334189</v>
      </c>
      <c r="C13" s="14" t="s">
        <v>123</v>
      </c>
      <c r="D13" s="15" t="s">
        <v>176</v>
      </c>
    </row>
    <row r="14" customFormat="false" ht="15" hidden="false" customHeight="false" outlineLevel="0" collapsed="false">
      <c r="A14" s="4" t="s">
        <v>177</v>
      </c>
      <c r="B14" s="13" t="n">
        <f aca="false">(Assumptions!$B$30/Assumptions!$B$31)/(1+Assumptions!$B$30/Assumptions!$B$31)*Assumptions!$B$33*Assumptions!$B$8/10000</f>
        <v>0.0112499760638807</v>
      </c>
      <c r="C14" s="14" t="s">
        <v>126</v>
      </c>
      <c r="D14" s="15" t="s">
        <v>178</v>
      </c>
    </row>
    <row r="15" customFormat="false" ht="22.35" hidden="false" customHeight="false" outlineLevel="0" collapsed="false">
      <c r="A15" s="4" t="s">
        <v>67</v>
      </c>
      <c r="B15" s="13" t="n">
        <f aca="false">(Assumptions!$B$30/Assumptions!$B$31)/(1+Assumptions!$B$30/Assumptions!$B$31)*Assumptions!$B$34/Assumptions!$B$31*100</f>
        <v>0.0574454640397305</v>
      </c>
      <c r="C15" s="14" t="s">
        <v>123</v>
      </c>
      <c r="D15" s="15" t="s">
        <v>179</v>
      </c>
    </row>
    <row r="16" customFormat="false" ht="15" hidden="false" customHeight="false" outlineLevel="0" collapsed="false">
      <c r="A16" s="11" t="s">
        <v>138</v>
      </c>
      <c r="B16" s="12"/>
      <c r="C16" s="12"/>
      <c r="D16" s="12"/>
    </row>
    <row r="17" customFormat="false" ht="22.35" hidden="false" customHeight="false" outlineLevel="0" collapsed="false">
      <c r="A17" s="4" t="s">
        <v>139</v>
      </c>
      <c r="B17" s="13" t="n">
        <f aca="false">Assumptions!$B$21/1000*(Assumptions!$B$18*10/8.2*10)/Assumptions!$B$66*100</f>
        <v>0.3</v>
      </c>
      <c r="C17" s="14" t="s">
        <v>140</v>
      </c>
      <c r="D17" s="15" t="s">
        <v>141</v>
      </c>
    </row>
    <row r="18" customFormat="false" ht="32.8" hidden="false" customHeight="false" outlineLevel="0" collapsed="false">
      <c r="A18" s="4" t="s">
        <v>142</v>
      </c>
      <c r="B18" s="13" t="n">
        <f aca="false">Assumptions!$B$47*SQRT(2)/1000*10/Assumptions!$B$66*100</f>
        <v>1.4142135623731</v>
      </c>
      <c r="C18" s="14" t="s">
        <v>140</v>
      </c>
      <c r="D18" s="15" t="s">
        <v>143</v>
      </c>
    </row>
    <row r="19" customFormat="false" ht="22.35" hidden="false" customHeight="false" outlineLevel="0" collapsed="false">
      <c r="A19" s="4" t="s">
        <v>144</v>
      </c>
      <c r="B19" s="13" t="n">
        <f aca="false">Assumptions!$B$39*Assumptions!$B$38/100/4*SQRT(4)*10/Assumptions!$B$66*100</f>
        <v>1.2</v>
      </c>
      <c r="C19" s="14" t="s">
        <v>140</v>
      </c>
      <c r="D19" s="15" t="s">
        <v>145</v>
      </c>
    </row>
    <row r="20" customFormat="false" ht="22.35" hidden="false" customHeight="false" outlineLevel="0" collapsed="false">
      <c r="A20" s="4" t="s">
        <v>146</v>
      </c>
      <c r="B20" s="13" t="n">
        <f aca="false">Assumptions!$B$44*0.000000001*(Assumptions!$B$42-Assumptions!$B$43)*10/Assumptions!$B$66*100</f>
        <v>0.1</v>
      </c>
      <c r="C20" s="14" t="s">
        <v>140</v>
      </c>
      <c r="D20" s="15" t="s">
        <v>147</v>
      </c>
    </row>
    <row r="21" customFormat="false" ht="15" hidden="false" customHeight="false" outlineLevel="0" collapsed="false">
      <c r="A21" s="4" t="s">
        <v>148</v>
      </c>
      <c r="B21" s="13" t="n">
        <f aca="false">Assumptions!$B$49*Assumptions!$B$8*SQRT(2)/1000000*10/Assumptions!$B$66*100</f>
        <v>0.00353553390593274</v>
      </c>
      <c r="C21" s="14" t="s">
        <v>126</v>
      </c>
      <c r="D21" s="15" t="s">
        <v>149</v>
      </c>
    </row>
    <row r="22" customFormat="false" ht="32.8" hidden="false" customHeight="false" outlineLevel="0" collapsed="false">
      <c r="A22" s="4" t="s">
        <v>150</v>
      </c>
      <c r="B22" s="13" t="n">
        <f aca="false">Assumptions!$B$22*Assumptions!$B$8/1000*(Assumptions!$B$18*10/8.2*10)/Assumptions!$B$66/10</f>
        <v>0.03</v>
      </c>
      <c r="C22" s="14" t="s">
        <v>126</v>
      </c>
      <c r="D22" s="15" t="s">
        <v>151</v>
      </c>
    </row>
    <row r="23" customFormat="false" ht="22.35" hidden="false" customHeight="false" outlineLevel="0" collapsed="false">
      <c r="A23" s="4" t="s">
        <v>152</v>
      </c>
      <c r="B23" s="13" t="n">
        <f aca="false">Assumptions!$B$16/1000*(Assumptions!$B$18*10/8.2*10)/Assumptions!$B$66/10</f>
        <v>0.01</v>
      </c>
      <c r="C23" s="14" t="s">
        <v>153</v>
      </c>
      <c r="D23" s="15" t="s">
        <v>154</v>
      </c>
    </row>
    <row r="24" customFormat="false" ht="15" hidden="false" customHeight="false" outlineLevel="0" collapsed="false">
      <c r="A24" s="4" t="s">
        <v>155</v>
      </c>
      <c r="B24" s="13" t="n">
        <f aca="false">Assumptions!$B$23</f>
        <v>0.08</v>
      </c>
      <c r="C24" s="14" t="s">
        <v>126</v>
      </c>
      <c r="D24" s="15" t="s">
        <v>156</v>
      </c>
    </row>
    <row r="25" customFormat="false" ht="22.35" hidden="false" customHeight="false" outlineLevel="0" collapsed="false">
      <c r="A25" s="4" t="s">
        <v>157</v>
      </c>
      <c r="B25" s="13" t="n">
        <f aca="false">Assumptions!$B$54*10/(Assumptions!$B$66*1000)*100</f>
        <v>0.0119940029985008</v>
      </c>
      <c r="C25" s="14" t="s">
        <v>126</v>
      </c>
      <c r="D25" s="15" t="s">
        <v>158</v>
      </c>
    </row>
    <row r="26" customFormat="false" ht="53.7" hidden="false" customHeight="false" outlineLevel="0" collapsed="false">
      <c r="A26" s="4" t="s">
        <v>159</v>
      </c>
      <c r="B26" s="13" t="n">
        <f aca="false">Assumptions!$B$46*Assumptions!$B$8/100*Assumptions!$B$44*0.000000001*((Assumptions!$B$42-Assumptions!$B$43)+Assumptions!$B$45/100*(Assumptions!$B$42+Assumptions!$B$43)/2)*10/Assumptions!$B$66*100</f>
        <v>0.0105</v>
      </c>
      <c r="C26" s="14" t="s">
        <v>126</v>
      </c>
      <c r="D26" s="15" t="s">
        <v>160</v>
      </c>
    </row>
    <row r="28" customFormat="false" ht="15" hidden="false" customHeight="false" outlineLevel="0" collapsed="false">
      <c r="A28" s="3" t="s">
        <v>161</v>
      </c>
      <c r="B28" s="3"/>
      <c r="C28" s="3"/>
      <c r="D28" s="3"/>
    </row>
    <row r="29" customFormat="false" ht="22.35" hidden="false" customHeight="false" outlineLevel="0" collapsed="false">
      <c r="A29" s="16" t="s">
        <v>162</v>
      </c>
      <c r="B29" s="17" t="n">
        <f aca="false">SUM(B6,B7,B8,B9,B10,B11,B12,B13,B14,B15)+SUM(B17,B18,B19,B20,B21,B22,B23,B24,B25,B26)</f>
        <v>4.21039314085622</v>
      </c>
      <c r="D29" s="15" t="s">
        <v>163</v>
      </c>
    </row>
    <row r="30" customFormat="false" ht="15" hidden="false" customHeight="false" outlineLevel="0" collapsed="false">
      <c r="A30" s="16" t="s">
        <v>164</v>
      </c>
      <c r="B30" s="17" t="n">
        <f aca="false">SQRT(SUMSQ(B6,B7,B8,B9,B10,B11,B12,B13,B14,B15)+SUMSQ(B17,B18,B19,B20,B21,B22,B23,B24,B25,B26))</f>
        <v>1.96514744676845</v>
      </c>
      <c r="D30" s="15" t="s">
        <v>165</v>
      </c>
    </row>
    <row r="31" customFormat="false" ht="22.35" hidden="false" customHeight="false" outlineLevel="0" collapsed="false">
      <c r="A31" s="16" t="s">
        <v>166</v>
      </c>
      <c r="B31" s="17" t="n">
        <f aca="false">SUMIF($C$6:$C$26,"No",$B$6:$B$26)+SUMIF($C$6:$C$26,"Partly",$B$6:$B$26)+SUMIF($C$6:$C$26,"Scale factor",$B$6:$B$26)</f>
        <v>1.19617957848312</v>
      </c>
      <c r="D31" s="15" t="s">
        <v>167</v>
      </c>
    </row>
    <row r="32" customFormat="false" ht="15" hidden="false" customHeight="false" outlineLevel="0" collapsed="false">
      <c r="A32" s="16" t="s">
        <v>168</v>
      </c>
      <c r="B32" s="17" t="n">
        <f aca="false">SQRT(SUMPRODUCT((($C$6:$C$26&lt;&gt;"R28 trim"))*$B$6:$B$26^2))</f>
        <v>0.567278139487648</v>
      </c>
      <c r="D32" s="15" t="s">
        <v>169</v>
      </c>
    </row>
    <row r="33" customFormat="false" ht="32.8" hidden="false" customHeight="false" outlineLevel="0" collapsed="false">
      <c r="A33" s="16" t="s">
        <v>170</v>
      </c>
      <c r="B33" s="17" t="n">
        <f aca="false">SUMIF($C$6:$C$26,"No",$B$6:$B$26)+SUMIF($C$6:$C$26,"Partly",$B$6:$B$26)</f>
        <v>0.253446179634981</v>
      </c>
      <c r="D33" s="15" t="s">
        <v>171</v>
      </c>
    </row>
    <row r="34" customFormat="false" ht="22.35" hidden="false" customHeight="false" outlineLevel="0" collapsed="false">
      <c r="A34" s="16" t="s">
        <v>172</v>
      </c>
      <c r="B34" s="17" t="n">
        <f aca="false">SQRT(SUMPRODUCT((($C$6:$C$26="No")+($C$6:$C$26="Partly"))*$B$6:$B$26^2))</f>
        <v>0.102978294705618</v>
      </c>
      <c r="D34" s="15" t="s">
        <v>173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7" min="2" style="0" width="17"/>
  </cols>
  <sheetData>
    <row r="1" customFormat="false" ht="16.15" hidden="false" customHeight="false" outlineLevel="0" collapsed="false">
      <c r="A1" s="1" t="s">
        <v>180</v>
      </c>
    </row>
    <row r="2" customFormat="false" ht="15" hidden="false" customHeight="false" outlineLevel="0" collapsed="false">
      <c r="A2" s="2" t="s">
        <v>181</v>
      </c>
    </row>
    <row r="4" customFormat="false" ht="15" hidden="false" customHeight="false" outlineLevel="0" collapsed="false">
      <c r="A4" s="18" t="s">
        <v>182</v>
      </c>
      <c r="B4" s="18" t="s">
        <v>183</v>
      </c>
      <c r="C4" s="18" t="s">
        <v>184</v>
      </c>
      <c r="D4" s="18" t="s">
        <v>185</v>
      </c>
      <c r="E4" s="18" t="s">
        <v>186</v>
      </c>
      <c r="F4" s="18" t="s">
        <v>187</v>
      </c>
      <c r="G4" s="18" t="s">
        <v>186</v>
      </c>
    </row>
    <row r="5" customFormat="false" ht="15" hidden="false" customHeight="false" outlineLevel="0" collapsed="false">
      <c r="A5" s="19" t="n">
        <v>10</v>
      </c>
      <c r="B5" s="20" t="n">
        <f aca="false">Assumptions!$B$39*A5/(2*Assumptions!$B$37+A5)*1000</f>
        <v>0.599970001499925</v>
      </c>
      <c r="C5" s="20" t="n">
        <f aca="false">B5/2</f>
        <v>0.299985000749963</v>
      </c>
      <c r="D5" s="21" t="n">
        <f aca="false">B5*1000*0.01</f>
        <v>5.99970001499925</v>
      </c>
      <c r="E5" s="13" t="n">
        <f aca="false">B5*0.01*10/(Assumptions!$B$66*1000)*100</f>
        <v>0.00119994000299985</v>
      </c>
      <c r="F5" s="21" t="n">
        <f aca="false">B5*1000*0.001</f>
        <v>0.599970001499925</v>
      </c>
      <c r="G5" s="13" t="n">
        <f aca="false">B5*0.001*10/(Assumptions!$B$66*1000)*100</f>
        <v>0.000119994000299985</v>
      </c>
    </row>
    <row r="6" customFormat="false" ht="15" hidden="false" customHeight="false" outlineLevel="0" collapsed="false">
      <c r="A6" s="19" t="n">
        <v>20</v>
      </c>
      <c r="B6" s="20" t="n">
        <f aca="false">Assumptions!$B$39*A6/(2*Assumptions!$B$37+A6)*1000</f>
        <v>1.1998800119988</v>
      </c>
      <c r="C6" s="20" t="n">
        <f aca="false">B6/2</f>
        <v>0.5999400059994</v>
      </c>
      <c r="D6" s="21" t="n">
        <f aca="false">B6*1000*0.01</f>
        <v>11.998800119988</v>
      </c>
      <c r="E6" s="13" t="n">
        <f aca="false">B6*0.01*10/(Assumptions!$B$66*1000)*100</f>
        <v>0.0023997600239976</v>
      </c>
      <c r="F6" s="21" t="n">
        <f aca="false">B6*1000*0.001</f>
        <v>1.1998800119988</v>
      </c>
      <c r="G6" s="13" t="n">
        <f aca="false">B6*0.001*10/(Assumptions!$B$66*1000)*100</f>
        <v>0.00023997600239976</v>
      </c>
    </row>
    <row r="7" customFormat="false" ht="15" hidden="false" customHeight="false" outlineLevel="0" collapsed="false">
      <c r="A7" s="19" t="n">
        <v>50</v>
      </c>
      <c r="B7" s="20" t="n">
        <f aca="false">Assumptions!$B$39*A7/(2*Assumptions!$B$37+A7)*1000</f>
        <v>2.99925018745314</v>
      </c>
      <c r="C7" s="20" t="n">
        <f aca="false">B7/2</f>
        <v>1.49962509372657</v>
      </c>
      <c r="D7" s="21" t="n">
        <f aca="false">B7*1000*0.01</f>
        <v>29.9925018745314</v>
      </c>
      <c r="E7" s="13" t="n">
        <f aca="false">B7*0.01*10/(Assumptions!$B$66*1000)*100</f>
        <v>0.00599850037490627</v>
      </c>
      <c r="F7" s="21" t="n">
        <f aca="false">B7*1000*0.001</f>
        <v>2.99925018745314</v>
      </c>
      <c r="G7" s="13" t="n">
        <f aca="false">B7*0.001*10/(Assumptions!$B$66*1000)*100</f>
        <v>0.000599850037490627</v>
      </c>
    </row>
    <row r="8" customFormat="false" ht="15" hidden="false" customHeight="false" outlineLevel="0" collapsed="false">
      <c r="A8" s="5" t="n">
        <v>100</v>
      </c>
      <c r="B8" s="22" t="n">
        <f aca="false">Assumptions!$B$39*A8/(2*Assumptions!$B$37+A8)*1000</f>
        <v>5.99700149925037</v>
      </c>
      <c r="C8" s="22" t="n">
        <f aca="false">B8/2</f>
        <v>2.99850074962519</v>
      </c>
      <c r="D8" s="23" t="n">
        <f aca="false">B8*1000*0.01</f>
        <v>59.9700149925038</v>
      </c>
      <c r="E8" s="24" t="n">
        <f aca="false">B8*0.01*10/(Assumptions!$B$66*1000)*100</f>
        <v>0.0119940029985008</v>
      </c>
      <c r="F8" s="23" t="n">
        <f aca="false">B8*1000*0.001</f>
        <v>5.99700149925038</v>
      </c>
      <c r="G8" s="24" t="n">
        <f aca="false">B8*0.001*10/(Assumptions!$B$66*1000)*100</f>
        <v>0.00119940029985007</v>
      </c>
    </row>
    <row r="9" customFormat="false" ht="15" hidden="false" customHeight="false" outlineLevel="0" collapsed="false">
      <c r="A9" s="19" t="n">
        <v>200</v>
      </c>
      <c r="B9" s="20" t="n">
        <f aca="false">Assumptions!$B$39*A9/(2*Assumptions!$B$37+A9)*1000</f>
        <v>11.988011988012</v>
      </c>
      <c r="C9" s="20" t="n">
        <f aca="false">B9/2</f>
        <v>5.99400599400599</v>
      </c>
      <c r="D9" s="21" t="n">
        <f aca="false">B9*1000*0.01</f>
        <v>119.88011988012</v>
      </c>
      <c r="E9" s="13" t="n">
        <f aca="false">B9*0.01*10/(Assumptions!$B$66*1000)*100</f>
        <v>0.023976023976024</v>
      </c>
      <c r="F9" s="21" t="n">
        <f aca="false">B9*1000*0.001</f>
        <v>11.988011988012</v>
      </c>
      <c r="G9" s="13" t="n">
        <f aca="false">B9*0.001*10/(Assumptions!$B$66*1000)*100</f>
        <v>0.0023976023976024</v>
      </c>
    </row>
    <row r="10" customFormat="false" ht="15" hidden="false" customHeight="false" outlineLevel="0" collapsed="false">
      <c r="A10" s="19" t="n">
        <v>500</v>
      </c>
      <c r="B10" s="20" t="n">
        <f aca="false">Assumptions!$B$39*A10/(2*Assumptions!$B$37+A10)*1000</f>
        <v>29.925187032419</v>
      </c>
      <c r="C10" s="20" t="n">
        <f aca="false">B10/2</f>
        <v>14.9625935162095</v>
      </c>
      <c r="D10" s="21" t="n">
        <f aca="false">B10*1000*0.01</f>
        <v>299.25187032419</v>
      </c>
      <c r="E10" s="13" t="n">
        <f aca="false">B10*0.01*10/(Assumptions!$B$66*1000)*100</f>
        <v>0.0598503740648379</v>
      </c>
      <c r="F10" s="21" t="n">
        <f aca="false">B10*1000*0.001</f>
        <v>29.925187032419</v>
      </c>
      <c r="G10" s="13" t="n">
        <f aca="false">B10*0.001*10/(Assumptions!$B$66*1000)*100</f>
        <v>0.00598503740648379</v>
      </c>
    </row>
    <row r="11" customFormat="false" ht="15" hidden="false" customHeight="false" outlineLevel="0" collapsed="false">
      <c r="A11" s="19" t="n">
        <v>1000</v>
      </c>
      <c r="B11" s="20" t="n">
        <f aca="false">Assumptions!$B$39*A11/(2*Assumptions!$B$37+A11)*1000</f>
        <v>59.7014925373134</v>
      </c>
      <c r="C11" s="20" t="n">
        <f aca="false">B11/2</f>
        <v>29.8507462686567</v>
      </c>
      <c r="D11" s="21" t="n">
        <f aca="false">B11*1000*0.01</f>
        <v>597.014925373134</v>
      </c>
      <c r="E11" s="13" t="n">
        <f aca="false">B11*0.01*10/(Assumptions!$B$66*1000)*100</f>
        <v>0.119402985074627</v>
      </c>
      <c r="F11" s="21" t="n">
        <f aca="false">B11*1000*0.001</f>
        <v>59.7014925373134</v>
      </c>
      <c r="G11" s="13" t="n">
        <f aca="false">B11*0.001*10/(Assumptions!$B$66*1000)*100</f>
        <v>0.0119402985074627</v>
      </c>
    </row>
    <row r="12" customFormat="false" ht="15" hidden="false" customHeight="false" outlineLevel="0" collapsed="false">
      <c r="A12" s="19" t="n">
        <v>2000</v>
      </c>
      <c r="B12" s="20" t="n">
        <f aca="false">Assumptions!$B$39*A12/(2*Assumptions!$B$37+A12)*1000</f>
        <v>118.811881188119</v>
      </c>
      <c r="C12" s="20" t="n">
        <f aca="false">B12/2</f>
        <v>59.4059405940594</v>
      </c>
      <c r="D12" s="21" t="n">
        <f aca="false">B12*1000*0.01</f>
        <v>1188.11881188119</v>
      </c>
      <c r="E12" s="13" t="n">
        <f aca="false">B12*0.01*10/(Assumptions!$B$66*1000)*100</f>
        <v>0.237623762376238</v>
      </c>
      <c r="F12" s="21" t="n">
        <f aca="false">B12*1000*0.001</f>
        <v>118.811881188119</v>
      </c>
      <c r="G12" s="13" t="n">
        <f aca="false">B12*0.001*10/(Assumptions!$B$66*1000)*100</f>
        <v>0.0237623762376238</v>
      </c>
    </row>
    <row r="13" customFormat="false" ht="15" hidden="false" customHeight="false" outlineLevel="0" collapsed="false">
      <c r="A13" s="19" t="n">
        <v>5000</v>
      </c>
      <c r="B13" s="20" t="n">
        <f aca="false">Assumptions!$B$39*A13/(2*Assumptions!$B$37+A13)*1000</f>
        <v>292.682926829268</v>
      </c>
      <c r="C13" s="20" t="n">
        <f aca="false">B13/2</f>
        <v>146.341463414634</v>
      </c>
      <c r="D13" s="21" t="n">
        <f aca="false">B13*1000*0.01</f>
        <v>2926.82926829268</v>
      </c>
      <c r="E13" s="13" t="n">
        <f aca="false">B13*0.01*10/(Assumptions!$B$66*1000)*100</f>
        <v>0.585365853658537</v>
      </c>
      <c r="F13" s="21" t="n">
        <f aca="false">B13*1000*0.001</f>
        <v>292.682926829268</v>
      </c>
      <c r="G13" s="13" t="n">
        <f aca="false">B13*0.001*10/(Assumptions!$B$66*1000)*100</f>
        <v>0.0585365853658537</v>
      </c>
    </row>
    <row r="14" customFormat="false" ht="15" hidden="false" customHeight="false" outlineLevel="0" collapsed="false">
      <c r="A14" s="19" t="n">
        <v>10000</v>
      </c>
      <c r="B14" s="20" t="n">
        <f aca="false">Assumptions!$B$39*A14/(2*Assumptions!$B$37+A14)*1000</f>
        <v>571.428571428571</v>
      </c>
      <c r="C14" s="20" t="n">
        <f aca="false">B14/2</f>
        <v>285.714285714286</v>
      </c>
      <c r="D14" s="21" t="n">
        <f aca="false">B14*1000*0.01</f>
        <v>5714.28571428572</v>
      </c>
      <c r="E14" s="13" t="n">
        <f aca="false">B14*0.01*10/(Assumptions!$B$66*1000)*100</f>
        <v>1.14285714285714</v>
      </c>
      <c r="F14" s="21" t="n">
        <f aca="false">B14*1000*0.001</f>
        <v>571.428571428571</v>
      </c>
      <c r="G14" s="13" t="n">
        <f aca="false">B14*0.001*10/(Assumptions!$B$66*1000)*100</f>
        <v>0.114285714285714</v>
      </c>
    </row>
    <row r="16" customFormat="false" ht="15" hidden="false" customHeight="false" outlineLevel="0" collapsed="false">
      <c r="A16" s="2" t="s">
        <v>188</v>
      </c>
    </row>
    <row r="17" customFormat="false" ht="15" hidden="false" customHeight="false" outlineLevel="0" collapsed="false">
      <c r="A17" s="2" t="s">
        <v>189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3" min="2" style="0" width="15"/>
    <col collapsed="false" customWidth="true" hidden="false" outlineLevel="0" max="4" min="4" style="0" width="64"/>
  </cols>
  <sheetData>
    <row r="1" customFormat="false" ht="16.15" hidden="false" customHeight="false" outlineLevel="0" collapsed="false">
      <c r="A1" s="1" t="s">
        <v>190</v>
      </c>
    </row>
    <row r="2" customFormat="false" ht="15" hidden="false" customHeight="false" outlineLevel="0" collapsed="false">
      <c r="A2" s="2" t="s">
        <v>191</v>
      </c>
    </row>
    <row r="4" customFormat="false" ht="15" hidden="false" customHeight="false" outlineLevel="0" collapsed="false">
      <c r="A4" s="25" t="s">
        <v>192</v>
      </c>
      <c r="B4" s="25" t="s">
        <v>193</v>
      </c>
      <c r="C4" s="25" t="s">
        <v>194</v>
      </c>
      <c r="D4" s="25" t="s">
        <v>195</v>
      </c>
    </row>
    <row r="5" customFormat="false" ht="32.8" hidden="false" customHeight="false" outlineLevel="0" collapsed="false">
      <c r="A5" s="4" t="s">
        <v>196</v>
      </c>
      <c r="B5" s="26" t="n">
        <f aca="false">Assumptions!$B$39*Assumptions!$B$38/100*1000</f>
        <v>12</v>
      </c>
      <c r="C5" s="26" t="n">
        <f aca="false">Assumptions!$B$39*Assumptions!$B$38/100/4*SQRT(4)*1000/3</f>
        <v>2</v>
      </c>
      <c r="D5" s="15" t="s">
        <v>197</v>
      </c>
    </row>
    <row r="6" customFormat="false" ht="22.35" hidden="false" customHeight="false" outlineLevel="0" collapsed="false">
      <c r="A6" s="4" t="s">
        <v>198</v>
      </c>
      <c r="B6" s="26" t="n">
        <f aca="false">2*Assumptions!$B$47</f>
        <v>10</v>
      </c>
      <c r="C6" s="26" t="n">
        <f aca="false">Assumptions!$B$48*SQRT(2)</f>
        <v>0.494974746830583</v>
      </c>
      <c r="D6" s="15" t="s">
        <v>199</v>
      </c>
    </row>
    <row r="7" customFormat="false" ht="22.35" hidden="false" customHeight="false" outlineLevel="0" collapsed="false">
      <c r="A7" s="4" t="s">
        <v>200</v>
      </c>
      <c r="B7" s="26" t="n">
        <f aca="false">Assumptions!$B$44*0.000000001*(Assumptions!$B$42-Assumptions!$B$43)*1000</f>
        <v>0.5</v>
      </c>
      <c r="C7" s="26" t="n">
        <f aca="false">Assumptions!$B$44*0.000000001*(Assumptions!$B$42-Assumptions!$B$43)*1000</f>
        <v>0.5</v>
      </c>
      <c r="D7" s="15" t="s">
        <v>201</v>
      </c>
    </row>
    <row r="8" customFormat="false" ht="22.35" hidden="false" customHeight="false" outlineLevel="0" collapsed="false">
      <c r="A8" s="4" t="s">
        <v>202</v>
      </c>
      <c r="B8" s="26" t="n">
        <f aca="false">Assumptions!$B$21*Assumptions!$B$18*10/8.2</f>
        <v>1.5</v>
      </c>
      <c r="C8" s="26" t="n">
        <f aca="false">0.04*Assumptions!$B$18*10/8.2</f>
        <v>0.4</v>
      </c>
      <c r="D8" s="15" t="s">
        <v>203</v>
      </c>
    </row>
    <row r="9" customFormat="false" ht="15" hidden="false" customHeight="false" outlineLevel="0" collapsed="false">
      <c r="A9" s="16" t="s">
        <v>204</v>
      </c>
      <c r="B9" s="27" t="n">
        <f aca="false">SUM(B5:B8)</f>
        <v>24</v>
      </c>
      <c r="C9" s="27" t="n">
        <f aca="false">SUM(C5:C8)</f>
        <v>3.39497474683058</v>
      </c>
    </row>
    <row r="11" customFormat="false" ht="15" hidden="false" customHeight="false" outlineLevel="0" collapsed="false">
      <c r="A11" s="16" t="s">
        <v>205</v>
      </c>
      <c r="B11" s="27" t="n">
        <f aca="false">Assumptions!$B$53/2</f>
        <v>2.99850074962519</v>
      </c>
      <c r="D11" s="2" t="s">
        <v>206</v>
      </c>
    </row>
    <row r="12" customFormat="false" ht="15" hidden="false" customHeight="false" outlineLevel="0" collapsed="false">
      <c r="A12" s="16" t="s">
        <v>207</v>
      </c>
      <c r="B12" s="28" t="n">
        <f aca="false">B11-B9</f>
        <v>-21.0014992503748</v>
      </c>
      <c r="D12" s="2" t="s">
        <v>208</v>
      </c>
    </row>
    <row r="13" customFormat="false" ht="15" hidden="false" customHeight="false" outlineLevel="0" collapsed="false">
      <c r="A13" s="16" t="s">
        <v>209</v>
      </c>
      <c r="B13" s="28" t="n">
        <f aca="false">B11-C9</f>
        <v>-0.396473997205396</v>
      </c>
      <c r="D13" s="2" t="s">
        <v>210</v>
      </c>
    </row>
    <row r="15" customFormat="false" ht="15" hidden="false" customHeight="false" outlineLevel="0" collapsed="false">
      <c r="A15" s="2" t="s">
        <v>211</v>
      </c>
    </row>
    <row r="16" customFormat="false" ht="15" hidden="false" customHeight="false" outlineLevel="0" collapsed="false">
      <c r="A16" s="2" t="s">
        <v>212</v>
      </c>
    </row>
    <row r="17" customFormat="false" ht="15" hidden="false" customHeight="false" outlineLevel="0" collapsed="false">
      <c r="A17" s="2"/>
    </row>
    <row r="18" customFormat="false" ht="15" hidden="false" customHeight="false" outlineLevel="0" collapsed="false">
      <c r="A18" s="2" t="s">
        <v>213</v>
      </c>
    </row>
    <row r="19" customFormat="false" ht="15" hidden="false" customHeight="false" outlineLevel="0" collapsed="false">
      <c r="A19" s="2" t="s">
        <v>214</v>
      </c>
    </row>
    <row r="20" customFormat="false" ht="15" hidden="false" customHeight="false" outlineLevel="0" collapsed="false">
      <c r="A20" s="2" t="s">
        <v>215</v>
      </c>
    </row>
    <row r="21" customFormat="false" ht="15" hidden="false" customHeight="false" outlineLevel="0" collapsed="false">
      <c r="A21" s="2"/>
    </row>
    <row r="22" customFormat="false" ht="15" hidden="false" customHeight="false" outlineLevel="0" collapsed="false">
      <c r="A22" s="2" t="s">
        <v>216</v>
      </c>
    </row>
    <row r="23" customFormat="false" ht="15" hidden="false" customHeight="false" outlineLevel="0" collapsed="false">
      <c r="A23" s="2"/>
    </row>
    <row r="24" customFormat="false" ht="15" hidden="false" customHeight="false" outlineLevel="0" collapsed="false">
      <c r="A24" s="2" t="s">
        <v>217</v>
      </c>
    </row>
    <row r="25" customFormat="false" ht="15" hidden="false" customHeight="false" outlineLevel="0" collapsed="false">
      <c r="A25" s="2" t="s">
        <v>218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5" min="2" style="0" width="21"/>
  </cols>
  <sheetData>
    <row r="1" customFormat="false" ht="16.15" hidden="false" customHeight="false" outlineLevel="0" collapsed="false">
      <c r="A1" s="1" t="s">
        <v>219</v>
      </c>
    </row>
    <row r="2" customFormat="false" ht="15" hidden="false" customHeight="false" outlineLevel="0" collapsed="false">
      <c r="A2" s="2" t="s">
        <v>220</v>
      </c>
    </row>
    <row r="4" customFormat="false" ht="15" hidden="false" customHeight="false" outlineLevel="0" collapsed="false">
      <c r="A4" s="25"/>
      <c r="B4" s="25" t="s">
        <v>221</v>
      </c>
      <c r="C4" s="25"/>
      <c r="D4" s="25" t="s">
        <v>222</v>
      </c>
      <c r="E4" s="25"/>
    </row>
    <row r="5" customFormat="false" ht="15" hidden="false" customHeight="false" outlineLevel="0" collapsed="false">
      <c r="A5" s="25" t="s">
        <v>223</v>
      </c>
      <c r="B5" s="25" t="s">
        <v>224</v>
      </c>
      <c r="C5" s="25" t="s">
        <v>225</v>
      </c>
      <c r="D5" s="25" t="s">
        <v>224</v>
      </c>
      <c r="E5" s="25" t="s">
        <v>225</v>
      </c>
    </row>
    <row r="6" customFormat="false" ht="15" hidden="false" customHeight="false" outlineLevel="0" collapsed="false">
      <c r="A6" s="29" t="s">
        <v>226</v>
      </c>
      <c r="B6" s="30" t="n">
        <f aca="false">SUM('10 A range (x10)'!$B$6:$B$12)</f>
        <v>1.03297006554166</v>
      </c>
      <c r="C6" s="31" t="n">
        <f aca="false">((SUMIF('10 A range (x10)'!$C$14:$C$23,"No",'10 A range (x10)'!$B$14:$B$23))+(SUMIF('10 A range (x10)'!$C$14:$C$23,"Partly",'10 A range (x10)'!$B$14:$B$23)))/100*Assumptions!$B$6*1000</f>
        <v>11.3014768452217</v>
      </c>
      <c r="D6" s="30" t="n">
        <f aca="false">SUM('5 A range (x100)'!$B$6:$B$15)</f>
        <v>1.05015004157869</v>
      </c>
      <c r="E6" s="31" t="n">
        <f aca="false">((SUMIF('5 A range (x100)'!$C$17:$C$26,"No",'5 A range (x100)'!$B$17:$B$26))+(SUMIF('5 A range (x100)'!$C$17:$C$26,"Partly",'5 A range (x100)'!$B$17:$B$26)))/100*Assumptions!$B$7*1000</f>
        <v>7.30147684522168</v>
      </c>
    </row>
    <row r="7" customFormat="false" ht="15" hidden="false" customHeight="false" outlineLevel="0" collapsed="false">
      <c r="A7" s="29" t="s">
        <v>227</v>
      </c>
      <c r="B7" s="30" t="n">
        <f aca="false">SQRT(SUMSQ('10 A range (x10)'!$B$6:$B$12))</f>
        <v>0.57563271951634</v>
      </c>
      <c r="C7" s="31" t="n">
        <f aca="false">(SQRT((SQRT(SUMPRODUCT(('10 A range (x10)'!$C$14:$C$23="No")*'10 A range (x10)'!$B$14:$B$23^2)))^2+(SQRT(SUMPRODUCT(('10 A range (x10)'!$C$14:$C$23="Partly")*'10 A range (x10)'!$B$14:$B$23^2)))^2))/100*Assumptions!$B$6*1000</f>
        <v>8.1955179988711</v>
      </c>
      <c r="D7" s="30" t="n">
        <f aca="false">SQRT(SUMSQ('5 A range (x100)'!$B$6:$B$15))</f>
        <v>0.560480045525832</v>
      </c>
      <c r="E7" s="31" t="n">
        <f aca="false">(SQRT((SQRT(SUMPRODUCT(('5 A range (x100)'!$C$17:$C$26="No")*'5 A range (x100)'!$B$17:$B$26^2)))^2+(SQRT(SUMPRODUCT(('5 A range (x100)'!$C$17:$C$26="Partly")*'5 A range (x100)'!$B$17:$B$26^2)))^2))/100*Assumptions!$B$7*1000</f>
        <v>4.37795788808208</v>
      </c>
    </row>
    <row r="8" customFormat="false" ht="15" hidden="false" customHeight="false" outlineLevel="0" collapsed="false">
      <c r="A8" s="4" t="s">
        <v>228</v>
      </c>
      <c r="B8" s="32" t="n">
        <f aca="false">SUMIF('10 A range (x10)'!$C$6:$C$12,"No",'10 A range (x10)'!$B$6:$B$12)</f>
        <v>0.221166666666667</v>
      </c>
      <c r="C8" s="33" t="n">
        <f aca="false">((SUMIF('10 A range (x10)'!$C$14:$C$23,"No",'10 A range (x10)'!$B$14:$B$23))+(SUMIF('10 A range (x10)'!$C$14:$C$23,"Partly",'10 A range (x10)'!$B$14:$B$23)))/100*Assumptions!$B$6*1000</f>
        <v>11.3014768452217</v>
      </c>
      <c r="D8" s="32" t="n">
        <f aca="false">SUMIF('5 A range (x100)'!$C$6:$C$15,"No",'5 A range (x100)'!$B$6:$B$15)</f>
        <v>0.107416642730547</v>
      </c>
      <c r="E8" s="33" t="n">
        <f aca="false">((SUMIF('5 A range (x100)'!$C$17:$C$26,"No",'5 A range (x100)'!$B$17:$B$26))+(SUMIF('5 A range (x100)'!$C$17:$C$26,"Partly",'5 A range (x100)'!$B$17:$B$26)))/100*Assumptions!$B$7*1000</f>
        <v>7.30147684522168</v>
      </c>
    </row>
    <row r="9" customFormat="false" ht="15" hidden="false" customHeight="false" outlineLevel="0" collapsed="false">
      <c r="A9" s="4" t="s">
        <v>229</v>
      </c>
      <c r="B9" s="32" t="n">
        <f aca="false">SQRT(SUMPRODUCT(('10 A range (x10)'!$C$6:$C$12="No")*'10 A range (x10)'!$B$6:$B$12^2))</f>
        <v>0.169861790223045</v>
      </c>
      <c r="C9" s="33" t="n">
        <f aca="false">(SQRT((SQRT(SUMPRODUCT(('10 A range (x10)'!$C$14:$C$23="No")*'10 A range (x10)'!$B$14:$B$23^2)))^2+(SQRT(SUMPRODUCT(('10 A range (x10)'!$C$14:$C$23="Partly")*'10 A range (x10)'!$B$14:$B$23^2)))^2))/100*Assumptions!$B$6*1000</f>
        <v>8.1955179988711</v>
      </c>
      <c r="D9" s="32" t="n">
        <f aca="false">SQRT(SUMPRODUCT(('5 A range (x100)'!$C$6:$C$15="No")*'5 A range (x100)'!$B$6:$B$15^2))</f>
        <v>0.054202611307473</v>
      </c>
      <c r="E9" s="33" t="n">
        <f aca="false">(SQRT((SQRT(SUMPRODUCT(('5 A range (x100)'!$C$17:$C$26="No")*'5 A range (x100)'!$B$17:$B$26^2)))^2+(SQRT(SUMPRODUCT(('5 A range (x100)'!$C$17:$C$26="Partly")*'5 A range (x100)'!$B$17:$B$26^2)))^2))/100*Assumptions!$B$7*1000</f>
        <v>4.37795788808208</v>
      </c>
    </row>
    <row r="11" customFormat="false" ht="15" hidden="false" customHeight="false" outlineLevel="0" collapsed="false">
      <c r="A11" s="3" t="s">
        <v>230</v>
      </c>
      <c r="B11" s="3"/>
      <c r="C11" s="3"/>
      <c r="D11" s="3"/>
      <c r="E11" s="3"/>
    </row>
    <row r="12" customFormat="false" ht="15" hidden="false" customHeight="false" outlineLevel="0" collapsed="false">
      <c r="A12" s="4" t="s">
        <v>231</v>
      </c>
      <c r="B12" s="34" t="n">
        <f aca="false">1*Assumptions!$B$6*1000</f>
        <v>10000</v>
      </c>
      <c r="C12" s="35" t="n">
        <f aca="false">B7/100*1*Assumptions!$B$6*1000+C7</f>
        <v>65.7587899505052</v>
      </c>
      <c r="D12" s="34" t="n">
        <f aca="false">1*Assumptions!$B$7*1000</f>
        <v>5000</v>
      </c>
      <c r="E12" s="35" t="n">
        <f aca="false">D7/100*1*Assumptions!$B$7*1000+E7</f>
        <v>32.4019601643737</v>
      </c>
    </row>
    <row r="13" customFormat="false" ht="15" hidden="false" customHeight="false" outlineLevel="0" collapsed="false">
      <c r="A13" s="4" t="s">
        <v>232</v>
      </c>
      <c r="B13" s="34" t="n">
        <f aca="false">0.5*Assumptions!$B$6*1000</f>
        <v>5000</v>
      </c>
      <c r="C13" s="35" t="n">
        <f aca="false">B7/100*0.5*Assumptions!$B$6*1000+C7</f>
        <v>36.9771539746881</v>
      </c>
      <c r="D13" s="34" t="n">
        <f aca="false">0.5*Assumptions!$B$7*1000</f>
        <v>2500</v>
      </c>
      <c r="E13" s="35" t="n">
        <f aca="false">D7/100*0.5*Assumptions!$B$7*1000+E7</f>
        <v>18.3899590262279</v>
      </c>
    </row>
    <row r="14" customFormat="false" ht="15" hidden="false" customHeight="false" outlineLevel="0" collapsed="false">
      <c r="A14" s="4" t="s">
        <v>233</v>
      </c>
      <c r="B14" s="34" t="n">
        <f aca="false">0.1*Assumptions!$B$6*1000</f>
        <v>1000</v>
      </c>
      <c r="C14" s="35" t="n">
        <f aca="false">B7/100*0.1*Assumptions!$B$6*1000+C7</f>
        <v>13.9518451940345</v>
      </c>
      <c r="D14" s="34" t="n">
        <f aca="false">0.1*Assumptions!$B$7*1000</f>
        <v>500</v>
      </c>
      <c r="E14" s="35" t="n">
        <f aca="false">D7/100*0.1*Assumptions!$B$7*1000+E7</f>
        <v>7.18035811571124</v>
      </c>
    </row>
    <row r="16" customFormat="false" ht="15" hidden="false" customHeight="false" outlineLevel="0" collapsed="false">
      <c r="A16" s="2" t="s">
        <v>234</v>
      </c>
    </row>
    <row r="17" customFormat="false" ht="15" hidden="false" customHeight="false" outlineLevel="0" collapsed="false">
      <c r="A17" s="2" t="s">
        <v>235</v>
      </c>
    </row>
    <row r="18" customFormat="false" ht="15" hidden="false" customHeight="false" outlineLevel="0" collapsed="false">
      <c r="A18" s="2" t="s">
        <v>236</v>
      </c>
    </row>
    <row r="19" customFormat="false" ht="15" hidden="false" customHeight="false" outlineLevel="0" collapsed="false">
      <c r="A19" s="2" t="s">
        <v>237</v>
      </c>
    </row>
    <row r="20" customFormat="false" ht="15" hidden="false" customHeight="false" outlineLevel="0" collapsed="false">
      <c r="A20" s="2" t="s">
        <v>238</v>
      </c>
    </row>
    <row r="21" customFormat="false" ht="15" hidden="false" customHeight="false" outlineLevel="0" collapsed="false">
      <c r="A21" s="2"/>
    </row>
    <row r="22" customFormat="false" ht="15" hidden="false" customHeight="false" outlineLevel="0" collapsed="false">
      <c r="A22" s="2" t="s">
        <v>239</v>
      </c>
    </row>
    <row r="23" customFormat="false" ht="15" hidden="false" customHeight="false" outlineLevel="0" collapsed="false">
      <c r="A23" s="2" t="s">
        <v>240</v>
      </c>
    </row>
    <row r="24" customFormat="false" ht="15" hidden="false" customHeight="false" outlineLevel="0" collapsed="false">
      <c r="A24" s="2" t="s">
        <v>241</v>
      </c>
    </row>
    <row r="25" customFormat="false" ht="15" hidden="false" customHeight="false" outlineLevel="0" collapsed="false">
      <c r="A25" s="2"/>
    </row>
    <row r="26" customFormat="false" ht="15" hidden="false" customHeight="false" outlineLevel="0" collapsed="false">
      <c r="A26" s="2" t="s">
        <v>242</v>
      </c>
    </row>
    <row r="27" customFormat="false" ht="15" hidden="false" customHeight="false" outlineLevel="0" collapsed="false">
      <c r="A27" s="2" t="s">
        <v>243</v>
      </c>
    </row>
    <row r="29" customFormat="false" ht="15" hidden="false" customHeight="false" outlineLevel="0" collapsed="false">
      <c r="A29" s="3" t="s">
        <v>244</v>
      </c>
      <c r="B29" s="3"/>
      <c r="C29" s="3"/>
      <c r="D29" s="3"/>
      <c r="E29" s="3"/>
    </row>
    <row r="30" customFormat="false" ht="15" hidden="false" customHeight="false" outlineLevel="0" collapsed="false">
      <c r="A30" s="16" t="s">
        <v>245</v>
      </c>
      <c r="B30" s="36" t="n">
        <f aca="false">('10 A range (x10)'!$B$6+'10 A range (x10)'!$B$9)+SQRT(SUMSQ('10 A range (x10)'!$B$6:$B$12)-'10 A range (x10)'!$B$6^2-'10 A range (x10)'!$B$9^2+SUMPRODUCT((('10 A range (x10)'!$C$14:$C$23&lt;&gt;"R28 trim"))*'10 A range (x10)'!$B$14:$B$23^2))</f>
        <v>0.919247985862493</v>
      </c>
      <c r="C30" s="37" t="n">
        <f aca="false">((SUMIF('10 A range (x10)'!$C$14:$C$23,"No",'10 A range (x10)'!$B$14:$B$23))+(SUMIF('10 A range (x10)'!$C$14:$C$23,"Partly",'10 A range (x10)'!$B$14:$B$23)))/100*Assumptions!$B$6*1000</f>
        <v>11.3014768452217</v>
      </c>
      <c r="D30" s="36" t="n">
        <f aca="false">('5 A range (x100)'!$B$6+'5 A range (x100)'!$B$9)+SQRT(SUMSQ('5 A range (x100)'!$B$6:$B$15)-'5 A range (x100)'!$B$6^2-'5 A range (x100)'!$B$9^2+SUMPRODUCT((('5 A range (x100)'!$C$17:$C$26&lt;&gt;"R28 trim"))*'5 A range (x100)'!$B$17:$B$26^2))</f>
        <v>0.878338126996352</v>
      </c>
      <c r="E30" s="37" t="n">
        <f aca="false">((SUMIF('5 A range (x100)'!$C$17:$C$26,"No",'5 A range (x100)'!$B$17:$B$26))+(SUMIF('5 A range (x100)'!$C$17:$C$26,"Partly",'5 A range (x100)'!$B$17:$B$26)))/100*Assumptions!$B$7*1000</f>
        <v>7.30147684522168</v>
      </c>
      <c r="F30" s="2" t="s">
        <v>246</v>
      </c>
    </row>
    <row r="32" customFormat="false" ht="15" hidden="false" customHeight="false" outlineLevel="0" collapsed="false">
      <c r="A32" s="2" t="s">
        <v>247</v>
      </c>
    </row>
    <row r="33" customFormat="false" ht="15" hidden="false" customHeight="false" outlineLevel="0" collapsed="false">
      <c r="A33" s="2" t="s">
        <v>248</v>
      </c>
    </row>
    <row r="34" customFormat="false" ht="15" hidden="false" customHeight="false" outlineLevel="0" collapsed="false">
      <c r="A34" s="2" t="s">
        <v>249</v>
      </c>
    </row>
    <row r="35" customFormat="false" ht="15" hidden="false" customHeight="false" outlineLevel="0" collapsed="false">
      <c r="A35" s="2" t="s">
        <v>250</v>
      </c>
    </row>
    <row r="36" customFormat="false" ht="15" hidden="false" customHeight="false" outlineLevel="0" collapsed="false">
      <c r="A36" s="2" t="s">
        <v>251</v>
      </c>
    </row>
    <row r="37" customFormat="false" ht="15" hidden="false" customHeight="false" outlineLevel="0" collapsed="false">
      <c r="A37" s="2" t="s">
        <v>252</v>
      </c>
    </row>
    <row r="38" customFormat="false" ht="15" hidden="false" customHeight="false" outlineLevel="0" collapsed="false">
      <c r="A38" s="2"/>
    </row>
    <row r="39" customFormat="false" ht="15" hidden="false" customHeight="false" outlineLevel="0" collapsed="false">
      <c r="A39" s="2" t="s">
        <v>253</v>
      </c>
    </row>
    <row r="40" customFormat="false" ht="15" hidden="false" customHeight="false" outlineLevel="0" collapsed="false">
      <c r="A40" s="2" t="s">
        <v>254</v>
      </c>
    </row>
    <row r="41" customFormat="false" ht="15" hidden="false" customHeight="false" outlineLevel="0" collapsed="false">
      <c r="A41" s="2" t="s">
        <v>255</v>
      </c>
    </row>
    <row r="42" customFormat="false" ht="15" hidden="false" customHeight="false" outlineLevel="0" collapsed="false">
      <c r="A42" s="2"/>
    </row>
    <row r="43" customFormat="false" ht="15" hidden="false" customHeight="false" outlineLevel="0" collapsed="false">
      <c r="A43" s="2" t="s">
        <v>256</v>
      </c>
    </row>
    <row r="44" customFormat="false" ht="15" hidden="false" customHeight="false" outlineLevel="0" collapsed="false">
      <c r="A44" s="2" t="s">
        <v>257</v>
      </c>
    </row>
    <row r="45" customFormat="false" ht="15" hidden="false" customHeight="false" outlineLevel="0" collapsed="false">
      <c r="A45" s="2" t="s">
        <v>258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2026-08-20T13:36:34Z</dcterms:created>
  <dc:creator>openpyxl</dc:creator>
  <dc:description/>
  <dc:language>en-US</dc:language>
  <cp:lastModifiedBy/>
  <dcterms:modified xsi:type="dcterms:W3CDTF">2026-08-20T13:36:34Z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