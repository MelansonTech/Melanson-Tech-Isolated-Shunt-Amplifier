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ard" sheetId="1" state="visible" r:id="rId1"/>
    <sheet xmlns:r="http://schemas.openxmlformats.org/officeDocument/2006/relationships" name="2 Bring-up" sheetId="2" state="visible" r:id="rId2"/>
    <sheet xmlns:r="http://schemas.openxmlformats.org/officeDocument/2006/relationships" name="3 Zero trim" sheetId="3" state="visible" r:id="rId3"/>
    <sheet xmlns:r="http://schemas.openxmlformats.org/officeDocument/2006/relationships" name="4 Accuracy 10A" sheetId="4" state="visible" r:id="rId4"/>
    <sheet xmlns:r="http://schemas.openxmlformats.org/officeDocument/2006/relationships" name="5 Accuracy 5A" sheetId="5" state="visible" r:id="rId5"/>
    <sheet xmlns:r="http://schemas.openxmlformats.org/officeDocument/2006/relationships" name="6 Optional" sheetId="6" state="visible" r:id="rId6"/>
    <sheet xmlns:r="http://schemas.openxmlformats.org/officeDocument/2006/relationships" name="7 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0.0000"/>
    <numFmt numFmtId="166" formatCode="0.00000"/>
    <numFmt numFmtId="167" formatCode="0.000&quot;%&quot;"/>
    <numFmt numFmtId="168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4E79"/>
      <sz val="13"/>
    </font>
    <font>
      <name val="Arial"/>
      <i val="1"/>
      <color rgb="00666666"/>
      <sz val="9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FFF9D6"/>
      </patternFill>
    </fill>
    <fill>
      <patternFill patternType="solid">
        <fgColor rgb="001F4E79"/>
      </patternFill>
    </fill>
    <fill>
      <patternFill patternType="solid">
        <fgColor rgb="00EEF3F8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3" borderId="0" pivotButton="0" quotePrefix="0" xfId="0"/>
    <xf numFmtId="0" fontId="5" fillId="3" borderId="1" applyAlignment="1" pivotButton="0" quotePrefix="0" xfId="0">
      <alignment vertical="center" wrapText="1"/>
    </xf>
    <xf numFmtId="0" fontId="3" fillId="0" borderId="1" pivotButton="0" quotePrefix="0" xfId="0"/>
    <xf numFmtId="0" fontId="4" fillId="2" borderId="1" applyAlignment="1" pivotButton="0" quotePrefix="0" xfId="0">
      <alignment horizontal="center"/>
    </xf>
    <xf numFmtId="0" fontId="3" fillId="4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4" fontId="4" fillId="2" borderId="1" pivotButton="0" quotePrefix="0" xfId="0"/>
    <xf numFmtId="0" fontId="6" fillId="0" borderId="0" pivotButton="0" quotePrefix="0" xfId="0"/>
    <xf numFmtId="165" fontId="4" fillId="2" borderId="1" pivotButton="0" quotePrefix="0" xfId="0"/>
    <xf numFmtId="166" fontId="4" fillId="2" borderId="1" pivotButton="0" quotePrefix="0" xfId="0"/>
    <xf numFmtId="165" fontId="0" fillId="0" borderId="1" pivotButton="0" quotePrefix="0" xfId="0"/>
    <xf numFmtId="2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5" fontId="0" fillId="4" borderId="1" pivotButton="0" quotePrefix="0" xfId="0"/>
    <xf numFmtId="2" fontId="0" fillId="4" borderId="1" pivotButton="0" quotePrefix="0" xfId="0"/>
    <xf numFmtId="167" fontId="0" fillId="4" borderId="1" pivotButton="0" quotePrefix="0" xfId="0"/>
    <xf numFmtId="168" fontId="0" fillId="4" borderId="1" pivotButton="0" quotePrefix="0" xfId="0"/>
    <xf numFmtId="0" fontId="0" fillId="4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166" fontId="6" fillId="0" borderId="1" pivotButton="0" quotePrefix="0" xfId="0"/>
    <xf numFmtId="0" fontId="6" fillId="4" borderId="1" applyAlignment="1" pivotButton="0" quotePrefix="0" xfId="0">
      <alignment horizontal="center"/>
    </xf>
    <xf numFmtId="0" fontId="4" fillId="2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62" customWidth="1" min="3" max="3"/>
  </cols>
  <sheetData>
    <row r="1">
      <c r="A1" s="1" t="inlineStr">
        <is>
          <t>Test record — MelansonTech Isolated Shunt Amplifier Rev 2</t>
        </is>
      </c>
    </row>
    <row r="2">
      <c r="A2" s="2" t="inlineStr">
        <is>
          <t>One copy per board. Fill the yellow cells; everything else calculates. See docs/CALIBRATION.md for the procedures.</t>
        </is>
      </c>
    </row>
    <row r="4">
      <c r="A4" s="3" t="inlineStr">
        <is>
          <t>Board serial / identifier</t>
        </is>
      </c>
      <c r="B4" s="4" t="n"/>
      <c r="C4" s="2" t="inlineStr">
        <is>
          <t>Whatever you mark on the board</t>
        </is>
      </c>
    </row>
    <row r="5">
      <c r="A5" s="3" t="inlineStr">
        <is>
          <t>Date tested</t>
        </is>
      </c>
      <c r="B5" s="4" t="n"/>
      <c r="C5" s="2" t="inlineStr">
        <is>
          <t>YYYY-MM-DD</t>
        </is>
      </c>
    </row>
    <row r="6">
      <c r="A6" s="3" t="inlineStr">
        <is>
          <t>Tested by</t>
        </is>
      </c>
      <c r="B6" s="4" t="n"/>
      <c r="C6" s="2" t="inlineStr"/>
    </row>
    <row r="7">
      <c r="A7" s="3" t="inlineStr">
        <is>
          <t>Assembly revision</t>
        </is>
      </c>
      <c r="B7" s="4" t="inlineStr">
        <is>
          <t>Rev 2</t>
        </is>
      </c>
      <c r="C7" s="2" t="inlineStr"/>
    </row>
    <row r="9">
      <c r="A9" s="5" t="inlineStr">
        <is>
          <t>AMBIENT AND CONDITIONS</t>
        </is>
      </c>
      <c r="B9" s="5" t="n"/>
      <c r="C9" s="5" t="n"/>
    </row>
    <row r="10">
      <c r="A10" s="3" t="inlineStr">
        <is>
          <t>Ambient temperature at test</t>
        </is>
      </c>
      <c r="B10" s="4" t="n"/>
      <c r="C10" s="2" t="inlineStr">
        <is>
          <t>°C — the spec is written at 23 °C ±5 °C</t>
        </is>
      </c>
    </row>
    <row r="11">
      <c r="A11" s="3" t="inlineStr">
        <is>
          <t>Warm-up before trimming (minutes)</t>
        </is>
      </c>
      <c r="B11" s="4" t="n"/>
      <c r="C11" s="2" t="inlineStr">
        <is>
          <t>30 minutes minimum, see CALIBRATION.md</t>
        </is>
      </c>
    </row>
    <row r="12">
      <c r="A12" s="3" t="inlineStr">
        <is>
          <t>Auxiliary supply voltage, measured</t>
        </is>
      </c>
      <c r="B12" s="4" t="n"/>
      <c r="C12" s="2" t="inlineStr">
        <is>
          <t>V — measure it, do not trust the label</t>
        </is>
      </c>
    </row>
    <row r="13">
      <c r="A13" s="3" t="inlineStr">
        <is>
          <t>Auxiliary supply isolated?</t>
        </is>
      </c>
      <c r="B13" s="4" t="n"/>
      <c r="C13" s="2" t="inlineStr">
        <is>
          <t>MUST be floating. See SAFETY.md and the README</t>
        </is>
      </c>
    </row>
    <row r="15">
      <c r="A15" s="5" t="inlineStr">
        <is>
          <t>EQUIPMENT USED</t>
        </is>
      </c>
      <c r="B15" s="5" t="n"/>
      <c r="C15" s="5" t="n"/>
    </row>
    <row r="16">
      <c r="A16" s="3" t="inlineStr">
        <is>
          <t>DMM / scope model and serial</t>
        </is>
      </c>
      <c r="B16" s="4" t="n"/>
      <c r="C16" s="2" t="inlineStr"/>
    </row>
    <row r="17">
      <c r="A17" s="3" t="inlineStr">
        <is>
          <t>Current source or reference ammeter</t>
        </is>
      </c>
      <c r="B17" s="4" t="n"/>
      <c r="C17" s="2" t="inlineStr"/>
    </row>
    <row r="18">
      <c r="A18" s="3" t="inlineStr">
        <is>
          <t>Reference ammeter accuracy</t>
        </is>
      </c>
      <c r="B18" s="4" t="n"/>
      <c r="C18" s="2" t="inlineStr">
        <is>
          <t>Needs to be better than the board to mean anything</t>
        </is>
      </c>
    </row>
    <row r="19">
      <c r="A19" s="3" t="inlineStr">
        <is>
          <t>Instrument input impedance</t>
        </is>
      </c>
      <c r="B19" s="4" t="inlineStr">
        <is>
          <t>1 MΩ</t>
        </is>
      </c>
      <c r="C19" s="2" t="inlineStr">
        <is>
          <t>A 50 Ω terminated input reads HALF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30" customWidth="1" min="3" max="3"/>
    <col width="16" customWidth="1" min="4" max="4"/>
    <col width="12" customWidth="1" min="5" max="5"/>
  </cols>
  <sheetData>
    <row r="1">
      <c r="A1" s="1" t="inlineStr">
        <is>
          <t>Bring-up — first power-on</t>
        </is>
      </c>
    </row>
    <row r="2">
      <c r="A2" s="2" t="inlineStr">
        <is>
          <t>J2 disconnected, isolated supply, current limit ~200 mA. Order matters: work down the sheet.</t>
        </is>
      </c>
    </row>
    <row r="4" ht="28" customHeight="1">
      <c r="A4" s="6" t="inlineStr">
        <is>
          <t>Step</t>
        </is>
      </c>
      <c r="B4" s="6" t="inlineStr">
        <is>
          <t>Check</t>
        </is>
      </c>
      <c r="C4" s="6" t="inlineStr">
        <is>
          <t>Expected</t>
        </is>
      </c>
      <c r="D4" s="6" t="inlineStr">
        <is>
          <t>Measured</t>
        </is>
      </c>
      <c r="E4" s="6" t="inlineStr">
        <is>
          <t>Result</t>
        </is>
      </c>
    </row>
    <row r="5">
      <c r="A5" s="7" t="n">
        <v>1</v>
      </c>
      <c r="B5" s="7" t="inlineStr">
        <is>
          <t>Visual — solder bridges at J1, J2, J4</t>
        </is>
      </c>
      <c r="C5" s="7" t="inlineStr">
        <is>
          <t>none</t>
        </is>
      </c>
      <c r="D5" s="4" t="n"/>
      <c r="E5" s="8" t="n"/>
    </row>
    <row r="6">
      <c r="A6" s="9" t="n">
        <v>2</v>
      </c>
      <c r="B6" s="9" t="inlineStr">
        <is>
          <t>Visual — U2 and PSU1 orientation</t>
        </is>
      </c>
      <c r="C6" s="9" t="inlineStr">
        <is>
          <t>correct</t>
        </is>
      </c>
      <c r="D6" s="4" t="n"/>
      <c r="E6" s="8" t="n"/>
    </row>
    <row r="7">
      <c r="A7" s="7" t="n">
        <v>3</v>
      </c>
      <c r="B7" s="7" t="inlineStr">
        <is>
          <t>SW1 position 1 (Off): supply current</t>
        </is>
      </c>
      <c r="C7" s="7" t="inlineStr">
        <is>
          <t>≈ 0 mA</t>
        </is>
      </c>
      <c r="D7" s="4" t="n"/>
      <c r="E7" s="10">
        <f>IF(D7="","",IF(ABS(D7)&lt;5,"PASS","FAIL"))</f>
        <v/>
      </c>
    </row>
    <row r="8">
      <c r="A8" s="9" t="n">
        <v>4</v>
      </c>
      <c r="B8" s="9" t="inlineStr">
        <is>
          <t>SW1 position 2 (10 A range): supply current</t>
        </is>
      </c>
      <c r="C8" s="9" t="inlineStr">
        <is>
          <t>90–100 mA</t>
        </is>
      </c>
      <c r="D8" s="4" t="n"/>
      <c r="E8" s="10">
        <f>IF(D8="","",IF(AND(D8&gt;60,D8&lt;130),"PASS","FAIL"))</f>
        <v/>
      </c>
    </row>
    <row r="9">
      <c r="A9" s="7" t="n">
        <v>5</v>
      </c>
      <c r="B9" s="7" t="inlineStr">
        <is>
          <t>SW1 position 2: D5 lit, D4 dark</t>
        </is>
      </c>
      <c r="C9" s="7" t="inlineStr">
        <is>
          <t>exactly one lit</t>
        </is>
      </c>
      <c r="D9" s="4" t="n"/>
      <c r="E9" s="8" t="n"/>
    </row>
    <row r="10">
      <c r="A10" s="9" t="n">
        <v>6</v>
      </c>
      <c r="B10" s="9" t="inlineStr">
        <is>
          <t>SW1 position 3 (5 A range): D4 lit, D5 dark</t>
        </is>
      </c>
      <c r="C10" s="9" t="inlineStr">
        <is>
          <t>exactly one lit</t>
        </is>
      </c>
      <c r="D10" s="4" t="n"/>
      <c r="E10" s="8" t="n"/>
    </row>
    <row r="11">
      <c r="A11" s="7" t="n">
        <v>7</v>
      </c>
      <c r="B11" s="7" t="inlineStr">
        <is>
          <t>SW1 position 3: Rel1 audibly operates</t>
        </is>
      </c>
      <c r="C11" s="7" t="inlineStr">
        <is>
          <t>click heard/felt</t>
        </is>
      </c>
      <c r="D11" s="4" t="n"/>
      <c r="E11" s="8" t="n"/>
    </row>
    <row r="12">
      <c r="A12" s="9" t="n">
        <v>8</v>
      </c>
      <c r="B12" s="9" t="inlineStr">
        <is>
          <t>Nothing overheating (U6 warm is normal)</t>
        </is>
      </c>
      <c r="C12" s="9" t="inlineStr">
        <is>
          <t>no fast heating</t>
        </is>
      </c>
      <c r="D12" s="4" t="n"/>
      <c r="E12" s="8" t="n"/>
    </row>
    <row r="13">
      <c r="A13" s="7" t="n">
        <v>9</v>
      </c>
      <c r="B13" s="7" t="inlineStr">
        <is>
          <t>Output near zero before trim</t>
        </is>
      </c>
      <c r="C13" s="7" t="inlineStr">
        <is>
          <t>within ±50 mV</t>
        </is>
      </c>
      <c r="D13" s="4" t="n"/>
      <c r="E13" s="10">
        <f>IF(D13="","",IF(ABS(D13)&lt;50,"PASS","FAIL"))</f>
        <v/>
      </c>
    </row>
    <row r="15">
      <c r="A15" s="5" t="n"/>
      <c r="B15" s="5" t="inlineStr">
        <is>
          <t>RAIL CHECK</t>
        </is>
      </c>
      <c r="C15" s="5" t="n"/>
      <c r="D15" s="5" t="n"/>
      <c r="E15" s="5" t="n"/>
    </row>
    <row r="16">
      <c r="A16" s="11" t="n"/>
      <c r="B16" s="7" t="inlineStr">
        <is>
          <t>VregIn</t>
        </is>
      </c>
      <c r="C16" s="7" t="inlineStr">
        <is>
          <t>≈14.6 V from a 15.0 V supply</t>
        </is>
      </c>
      <c r="D16" s="12" t="n"/>
      <c r="E16" s="10">
        <f>IF(D16="","",IF(AND(D16&gt;13.9,D16&lt;15.2),"PASS","FAIL"))</f>
        <v/>
      </c>
    </row>
    <row r="17">
      <c r="A17" s="11" t="n"/>
      <c r="B17" s="7" t="inlineStr">
        <is>
          <t>+12</t>
        </is>
      </c>
      <c r="C17" s="7" t="inlineStr">
        <is>
          <t>12 V ±4 %</t>
        </is>
      </c>
      <c r="D17" s="12" t="n"/>
      <c r="E17" s="10">
        <f>IF(D17="","",IF(AND(D17&gt;11.5,D17&lt;12.5),"PASS","FAIL"))</f>
        <v/>
      </c>
    </row>
    <row r="18">
      <c r="A18" s="11" t="n"/>
      <c r="B18" s="7" t="inlineStr">
        <is>
          <t>+5</t>
        </is>
      </c>
      <c r="C18" s="7" t="inlineStr">
        <is>
          <t>5 V ±5 %</t>
        </is>
      </c>
      <c r="D18" s="12" t="n"/>
      <c r="E18" s="10">
        <f>IF(D18="","",IF(AND(D18&gt;4.75,D18&lt;5.25),"PASS","FAIL"))</f>
        <v/>
      </c>
    </row>
    <row r="19">
      <c r="A19" s="11" t="n"/>
      <c r="B19" s="7" t="inlineStr">
        <is>
          <t>+5_ISO</t>
        </is>
      </c>
      <c r="C19" s="7" t="inlineStr">
        <is>
          <t>5 V, isolated side</t>
        </is>
      </c>
      <c r="D19" s="12" t="n"/>
      <c r="E19" s="10">
        <f>IF(D19="","",IF(AND(D19&gt;4.6,D19&lt;5.6),"PASS","FAIL"))</f>
        <v/>
      </c>
    </row>
    <row r="20">
      <c r="A20" s="11" t="n"/>
      <c r="B20" s="7" t="inlineStr">
        <is>
          <t>ISenseRTN, relative to board 0 V</t>
        </is>
      </c>
      <c r="C20" s="7" t="inlineStr">
        <is>
          <t>≈ 6 V</t>
        </is>
      </c>
      <c r="D20" s="12" t="n"/>
      <c r="E20" s="10">
        <f>IF(D20="","",IF(AND(D20&gt;5.7,D20&lt;6.3),"PASS","FAIL"))</f>
        <v/>
      </c>
    </row>
    <row r="21">
      <c r="A21" s="11" t="n"/>
      <c r="B21" s="7" t="inlineStr">
        <is>
          <t>DiffAmpRef, relative to board 0 V</t>
        </is>
      </c>
      <c r="C21" s="7" t="inlineStr">
        <is>
          <t>≈ 6 V</t>
        </is>
      </c>
      <c r="D21" s="12" t="n"/>
      <c r="E21" s="10">
        <f>IF(D21="","",IF(AND(D21&gt;5.7,D21&lt;6.3),"PASS","FAIL"))</f>
        <v/>
      </c>
    </row>
    <row r="23">
      <c r="B23" s="2" t="inlineStr">
        <is>
          <t>If +12 reads below 11.5 V the UA78L12 is in dropout — check the supply. See finding 2 in DESIGN_REVIEW.md.</t>
        </is>
      </c>
    </row>
  </sheetData>
  <dataValidations count="6">
    <dataValidation sqref="E5 E6 E9 E10 E11 E12" showDropDown="0" showInputMessage="0" showErrorMessage="0" allowBlank="1" type="list">
      <formula1>"PASS,FAIL,N/A"</formula1>
    </dataValidation>
    <dataValidation sqref="E5 E6 E9 E10 E11 E12" showDropDown="0" showInputMessage="0" showErrorMessage="0" allowBlank="1" type="list">
      <formula1>"PASS,FAIL,N/A"</formula1>
    </dataValidation>
    <dataValidation sqref="E5 E6 E9 E10 E11 E12" showDropDown="0" showInputMessage="0" showErrorMessage="0" allowBlank="1" type="list">
      <formula1>"PASS,FAIL,N/A"</formula1>
    </dataValidation>
    <dataValidation sqref="E5 E6 E9 E10 E11 E12" showDropDown="0" showInputMessage="0" showErrorMessage="0" allowBlank="1" type="list">
      <formula1>"PASS,FAIL,N/A"</formula1>
    </dataValidation>
    <dataValidation sqref="E5 E6 E9 E10 E11 E12" showDropDown="0" showInputMessage="0" showErrorMessage="0" allowBlank="1" type="list">
      <formula1>"PASS,FAIL,N/A"</formula1>
    </dataValidation>
    <dataValidation sqref="E5 E6 E9 E10 E11 E12" showDropDown="0" showInputMessage="0" showErrorMessage="0" allowBlank="1" type="list">
      <formula1>"PASS,FAIL,N/A"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4" customWidth="1" min="3" max="3"/>
    <col width="58" customWidth="1" min="4" max="4"/>
  </cols>
  <sheetData>
    <row r="1">
      <c r="A1" s="1" t="inlineStr">
        <is>
          <t>Zero trim — R28</t>
        </is>
      </c>
    </row>
    <row r="2">
      <c r="A2" s="2" t="inlineStr">
        <is>
          <t>J2 open or shorted, 30 minutes warm-up, SW1 position 3 (5 A range, ×100). A null on this range holds on the other.</t>
        </is>
      </c>
    </row>
    <row r="4">
      <c r="A4" s="3" t="inlineStr">
        <is>
          <t>Temperature at which the trim was made</t>
        </is>
      </c>
      <c r="B4" s="12" t="n"/>
      <c r="C4" s="3" t="inlineStr">
        <is>
          <t>°C</t>
        </is>
      </c>
      <c r="D4" s="2" t="inlineStr">
        <is>
          <t>Record it — the residual drift from here is what limits zero stability</t>
        </is>
      </c>
    </row>
    <row r="5">
      <c r="A5" s="3" t="inlineStr">
        <is>
          <t>Output before trimming</t>
        </is>
      </c>
      <c r="B5" s="12" t="n"/>
      <c r="C5" s="3" t="inlineStr">
        <is>
          <t>mV</t>
        </is>
      </c>
      <c r="D5" s="2" t="inlineStr">
        <is>
          <t>IsenseOut relative to ISenseRTN</t>
        </is>
      </c>
    </row>
    <row r="6">
      <c r="A6" s="3" t="inlineStr">
        <is>
          <t>Output after trimming</t>
        </is>
      </c>
      <c r="B6" s="12" t="n"/>
      <c r="C6" s="3" t="inlineStr">
        <is>
          <t>mV</t>
        </is>
      </c>
      <c r="D6" s="2" t="inlineStr">
        <is>
          <t>As close to zero as you can hold</t>
        </is>
      </c>
    </row>
    <row r="7">
      <c r="A7" s="3" t="inlineStr">
        <is>
          <t>R28 value fitted</t>
        </is>
      </c>
      <c r="B7" s="12" t="n">
        <v>100</v>
      </c>
      <c r="C7" s="3" t="inlineStr">
        <is>
          <t>Ω</t>
        </is>
      </c>
      <c r="D7" s="2" t="inlineStr">
        <is>
          <t>Should be 100 Ω. The BOM's 10 kΩ line is an error</t>
        </is>
      </c>
    </row>
    <row r="8">
      <c r="A8" s="3" t="inlineStr">
        <is>
          <t>Trim position within travel</t>
        </is>
      </c>
      <c r="B8" s="4" t="n"/>
      <c r="C8" s="3" t="inlineStr"/>
      <c r="D8" s="2" t="inlineStr">
        <is>
          <t>centre / near one end / at the end</t>
        </is>
      </c>
    </row>
    <row r="10">
      <c r="A10" s="13" t="inlineStr">
        <is>
          <t>Residual within ±5 mV?</t>
        </is>
      </c>
      <c r="B10" s="10">
        <f>IF(B6="","",IF(ABS(B6)&lt;=5,"PASS","FAIL"))</f>
        <v/>
      </c>
      <c r="D10" s="2" t="inlineStr">
        <is>
          <t>A few mV is normal. If it will not null at either extreme of travel, fit a 200 Ω trimmer — see CALIBRATION.md.</t>
        </is>
      </c>
    </row>
    <row r="12">
      <c r="A12" s="2" t="inlineStr">
        <is>
          <t>If the trim runs out of range: the chain's static offset exceeds ±3 mV. This is a tolerance</t>
        </is>
      </c>
    </row>
    <row r="13">
      <c r="A13" s="2" t="inlineStr">
        <is>
          <t>stack, not a fault — at datasheet limits it can reach ±24 mV. Fit 200 Ω, which doubles the</t>
        </is>
      </c>
    </row>
    <row r="14">
      <c r="A14" s="2" t="inlineStr">
        <is>
          <t>range and still resolves to 0.12 % of full scale. Note it in the comments so the population</t>
        </is>
      </c>
    </row>
    <row r="15">
      <c r="A15" s="2" t="inlineStr">
        <is>
          <t>is tracked.</t>
        </is>
      </c>
    </row>
    <row r="16">
      <c r="A16" s="2" t="inlineStr"/>
    </row>
    <row r="17">
      <c r="A17" s="2" t="inlineStr">
        <is>
          <t>Re-trim whenever the board has moved temperature and small readings matter. Re-trimming at</t>
        </is>
      </c>
    </row>
    <row r="18">
      <c r="A18" s="2" t="inlineStr">
        <is>
          <t>the working temperature takes the fixed error term from 11.3 mA to 9.1 mA on the 10 A range.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5" customWidth="1" min="4" max="4"/>
    <col width="12" customWidth="1" min="5" max="5"/>
    <col width="14" customWidth="1" min="6" max="6"/>
    <col width="13" customWidth="1" min="7" max="7"/>
    <col width="11" customWidth="1" min="8" max="8"/>
  </cols>
  <sheetData>
    <row r="1">
      <c r="A1" s="1" t="inlineStr">
        <is>
          <t>Accuracy — 10 A range (×10)</t>
        </is>
      </c>
    </row>
    <row r="2">
      <c r="A2" s="2" t="inlineStr">
        <is>
          <t>SW1 to this range. Nominal 100 mV/A, full scale 10 A. Published spec: ±(1.0 % of reading + 12 mA). Zero trim must be done first.</t>
        </is>
      </c>
    </row>
    <row r="4" ht="28" customHeight="1">
      <c r="A4" s="6" t="inlineStr">
        <is>
          <t>Point</t>
        </is>
      </c>
      <c r="B4" s="6" t="inlineStr">
        <is>
          <t>True current
(A)</t>
        </is>
      </c>
      <c r="C4" s="6" t="inlineStr">
        <is>
          <t>Output measured
(V)</t>
        </is>
      </c>
      <c r="D4" s="6" t="inlineStr">
        <is>
          <t>Indicated current
(A)</t>
        </is>
      </c>
      <c r="E4" s="6" t="inlineStr">
        <is>
          <t>Error
(mA)</t>
        </is>
      </c>
      <c r="F4" s="6" t="inlineStr">
        <is>
          <t>Error
(% of reading)</t>
        </is>
      </c>
      <c r="G4" s="6" t="inlineStr">
        <is>
          <t>Spec limit
(± mA)</t>
        </is>
      </c>
      <c r="H4" s="6" t="inlineStr">
        <is>
          <t>Result</t>
        </is>
      </c>
    </row>
    <row r="5">
      <c r="A5" s="7" t="n">
        <v>1</v>
      </c>
      <c r="B5" s="14" t="n">
        <v>0.5</v>
      </c>
      <c r="C5" s="15" t="n"/>
      <c r="D5" s="16">
        <f>IF(C5="","",C5/100*1000)</f>
        <v/>
      </c>
      <c r="E5" s="17">
        <f>IF(D5="","",(D5-B5)*1000)</f>
        <v/>
      </c>
      <c r="F5" s="18">
        <f>IF(OR(D5="",B5=0),"",(D5-B5)/B5*100)</f>
        <v/>
      </c>
      <c r="G5" s="19">
        <f>1.0/100*B5*1000+12</f>
        <v/>
      </c>
      <c r="H5" s="10">
        <f>IF(E5="","",IF(ABS(E5)&lt;=G5,"PASS","FAIL"))</f>
        <v/>
      </c>
    </row>
    <row r="6">
      <c r="A6" s="9" t="n">
        <v>2</v>
      </c>
      <c r="B6" s="14" t="n">
        <v>1</v>
      </c>
      <c r="C6" s="15" t="n"/>
      <c r="D6" s="20">
        <f>IF(C6="","",C6/100*1000)</f>
        <v/>
      </c>
      <c r="E6" s="21">
        <f>IF(D6="","",(D6-B6)*1000)</f>
        <v/>
      </c>
      <c r="F6" s="22">
        <f>IF(OR(D6="",B6=0),"",(D6-B6)/B6*100)</f>
        <v/>
      </c>
      <c r="G6" s="23">
        <f>1.0/100*B6*1000+12</f>
        <v/>
      </c>
      <c r="H6" s="24">
        <f>IF(E6="","",IF(ABS(E6)&lt;=G6,"PASS","FAIL"))</f>
        <v/>
      </c>
    </row>
    <row r="7">
      <c r="A7" s="7" t="n">
        <v>3</v>
      </c>
      <c r="B7" s="14" t="n">
        <v>2</v>
      </c>
      <c r="C7" s="15" t="n"/>
      <c r="D7" s="16">
        <f>IF(C7="","",C7/100*1000)</f>
        <v/>
      </c>
      <c r="E7" s="17">
        <f>IF(D7="","",(D7-B7)*1000)</f>
        <v/>
      </c>
      <c r="F7" s="18">
        <f>IF(OR(D7="",B7=0),"",(D7-B7)/B7*100)</f>
        <v/>
      </c>
      <c r="G7" s="19">
        <f>1.0/100*B7*1000+12</f>
        <v/>
      </c>
      <c r="H7" s="10">
        <f>IF(E7="","",IF(ABS(E7)&lt;=G7,"PASS","FAIL"))</f>
        <v/>
      </c>
    </row>
    <row r="8">
      <c r="A8" s="9" t="n">
        <v>4</v>
      </c>
      <c r="B8" s="14" t="n">
        <v>5</v>
      </c>
      <c r="C8" s="15" t="n"/>
      <c r="D8" s="20">
        <f>IF(C8="","",C8/100*1000)</f>
        <v/>
      </c>
      <c r="E8" s="21">
        <f>IF(D8="","",(D8-B8)*1000)</f>
        <v/>
      </c>
      <c r="F8" s="22">
        <f>IF(OR(D8="",B8=0),"",(D8-B8)/B8*100)</f>
        <v/>
      </c>
      <c r="G8" s="23">
        <f>1.0/100*B8*1000+12</f>
        <v/>
      </c>
      <c r="H8" s="24">
        <f>IF(E8="","",IF(ABS(E8)&lt;=G8,"PASS","FAIL"))</f>
        <v/>
      </c>
    </row>
    <row r="9">
      <c r="A9" s="7" t="n">
        <v>5</v>
      </c>
      <c r="B9" s="14" t="n">
        <v>7.5</v>
      </c>
      <c r="C9" s="15" t="n"/>
      <c r="D9" s="16">
        <f>IF(C9="","",C9/100*1000)</f>
        <v/>
      </c>
      <c r="E9" s="17">
        <f>IF(D9="","",(D9-B9)*1000)</f>
        <v/>
      </c>
      <c r="F9" s="18">
        <f>IF(OR(D9="",B9=0),"",(D9-B9)/B9*100)</f>
        <v/>
      </c>
      <c r="G9" s="19">
        <f>1.0/100*B9*1000+12</f>
        <v/>
      </c>
      <c r="H9" s="10">
        <f>IF(E9="","",IF(ABS(E9)&lt;=G9,"PASS","FAIL"))</f>
        <v/>
      </c>
    </row>
    <row r="10">
      <c r="A10" s="9" t="n">
        <v>6</v>
      </c>
      <c r="B10" s="14" t="n">
        <v>10</v>
      </c>
      <c r="C10" s="15" t="n"/>
      <c r="D10" s="20">
        <f>IF(C10="","",C10/100*1000)</f>
        <v/>
      </c>
      <c r="E10" s="21">
        <f>IF(D10="","",(D10-B10)*1000)</f>
        <v/>
      </c>
      <c r="F10" s="22">
        <f>IF(OR(D10="",B10=0),"",(D10-B10)/B10*100)</f>
        <v/>
      </c>
      <c r="G10" s="23">
        <f>1.0/100*B10*1000+12</f>
        <v/>
      </c>
      <c r="H10" s="24">
        <f>IF(E10="","",IF(ABS(E10)&lt;=G10,"PASS","FAIL"))</f>
        <v/>
      </c>
    </row>
    <row r="12">
      <c r="A12" s="13" t="inlineStr">
        <is>
          <t>Overall</t>
        </is>
      </c>
      <c r="H12" s="25">
        <f>IF(COUNTA(C5:C10)=0,"",IF(COUNTIF(H5:H10,"FAIL")&gt;0,"FAIL","PASS"))</f>
        <v/>
      </c>
    </row>
    <row r="14">
      <c r="A14" s="5" t="inlineStr">
        <is>
          <t>GAIN CONSTANT (optional — takes the proportional term to ±0.25 % / ±0.15 %)</t>
        </is>
      </c>
      <c r="B14" s="5" t="n"/>
      <c r="C14" s="5" t="n"/>
      <c r="D14" s="5" t="n"/>
      <c r="E14" s="5" t="n"/>
      <c r="F14" s="5" t="n"/>
      <c r="G14" s="5" t="n"/>
      <c r="H14" s="5" t="n"/>
    </row>
    <row r="15">
      <c r="A15" s="3" t="inlineStr">
        <is>
          <t>k = true / indicated, from the highest point measured</t>
        </is>
      </c>
      <c r="C15" s="26">
        <f>IF(COUNTA(C5:C10)=0,"",INDEX(B5:B10,MATCH(MAX(B5:B10),B5:B10,0))/INDEX(D5:D10,MATCH(MAX(B5:B10),B5:B10,0)))</f>
        <v/>
      </c>
    </row>
    <row r="16">
      <c r="A16" s="2" t="inlineStr">
        <is>
          <t>Expect k within about ±1 % of 1.000. If k ≈ 2.0 your instrument is terminating into 50 Ω — use a 1 MΩ input.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5" customWidth="1" min="4" max="4"/>
    <col width="12" customWidth="1" min="5" max="5"/>
    <col width="14" customWidth="1" min="6" max="6"/>
    <col width="13" customWidth="1" min="7" max="7"/>
    <col width="11" customWidth="1" min="8" max="8"/>
  </cols>
  <sheetData>
    <row r="1">
      <c r="A1" s="1" t="inlineStr">
        <is>
          <t>Accuracy — 5 A range (×100)</t>
        </is>
      </c>
    </row>
    <row r="2">
      <c r="A2" s="2" t="inlineStr">
        <is>
          <t>SW1 to this range. Nominal 1000 mV/A, full scale 5 A. Published spec: ±(0.9 % of reading + 8 mA). Zero trim must be done first.</t>
        </is>
      </c>
    </row>
    <row r="4" ht="28" customHeight="1">
      <c r="A4" s="6" t="inlineStr">
        <is>
          <t>Point</t>
        </is>
      </c>
      <c r="B4" s="6" t="inlineStr">
        <is>
          <t>True current
(A)</t>
        </is>
      </c>
      <c r="C4" s="6" t="inlineStr">
        <is>
          <t>Output measured
(V)</t>
        </is>
      </c>
      <c r="D4" s="6" t="inlineStr">
        <is>
          <t>Indicated current
(A)</t>
        </is>
      </c>
      <c r="E4" s="6" t="inlineStr">
        <is>
          <t>Error
(mA)</t>
        </is>
      </c>
      <c r="F4" s="6" t="inlineStr">
        <is>
          <t>Error
(% of reading)</t>
        </is>
      </c>
      <c r="G4" s="6" t="inlineStr">
        <is>
          <t>Spec limit
(± mA)</t>
        </is>
      </c>
      <c r="H4" s="6" t="inlineStr">
        <is>
          <t>Result</t>
        </is>
      </c>
    </row>
    <row r="5">
      <c r="A5" s="7" t="n">
        <v>1</v>
      </c>
      <c r="B5" s="14" t="n">
        <v>0.25</v>
      </c>
      <c r="C5" s="15" t="n"/>
      <c r="D5" s="16">
        <f>IF(C5="","",C5/1000*1000)</f>
        <v/>
      </c>
      <c r="E5" s="17">
        <f>IF(D5="","",(D5-B5)*1000)</f>
        <v/>
      </c>
      <c r="F5" s="18">
        <f>IF(OR(D5="",B5=0),"",(D5-B5)/B5*100)</f>
        <v/>
      </c>
      <c r="G5" s="19">
        <f>0.9/100*B5*1000+8</f>
        <v/>
      </c>
      <c r="H5" s="10">
        <f>IF(E5="","",IF(ABS(E5)&lt;=G5,"PASS","FAIL"))</f>
        <v/>
      </c>
    </row>
    <row r="6">
      <c r="A6" s="9" t="n">
        <v>2</v>
      </c>
      <c r="B6" s="14" t="n">
        <v>0.5</v>
      </c>
      <c r="C6" s="15" t="n"/>
      <c r="D6" s="20">
        <f>IF(C6="","",C6/1000*1000)</f>
        <v/>
      </c>
      <c r="E6" s="21">
        <f>IF(D6="","",(D6-B6)*1000)</f>
        <v/>
      </c>
      <c r="F6" s="22">
        <f>IF(OR(D6="",B6=0),"",(D6-B6)/B6*100)</f>
        <v/>
      </c>
      <c r="G6" s="23">
        <f>0.9/100*B6*1000+8</f>
        <v/>
      </c>
      <c r="H6" s="24">
        <f>IF(E6="","",IF(ABS(E6)&lt;=G6,"PASS","FAIL"))</f>
        <v/>
      </c>
    </row>
    <row r="7">
      <c r="A7" s="7" t="n">
        <v>3</v>
      </c>
      <c r="B7" s="14" t="n">
        <v>1</v>
      </c>
      <c r="C7" s="15" t="n"/>
      <c r="D7" s="16">
        <f>IF(C7="","",C7/1000*1000)</f>
        <v/>
      </c>
      <c r="E7" s="17">
        <f>IF(D7="","",(D7-B7)*1000)</f>
        <v/>
      </c>
      <c r="F7" s="18">
        <f>IF(OR(D7="",B7=0),"",(D7-B7)/B7*100)</f>
        <v/>
      </c>
      <c r="G7" s="19">
        <f>0.9/100*B7*1000+8</f>
        <v/>
      </c>
      <c r="H7" s="10">
        <f>IF(E7="","",IF(ABS(E7)&lt;=G7,"PASS","FAIL"))</f>
        <v/>
      </c>
    </row>
    <row r="8">
      <c r="A8" s="9" t="n">
        <v>4</v>
      </c>
      <c r="B8" s="14" t="n">
        <v>2</v>
      </c>
      <c r="C8" s="15" t="n"/>
      <c r="D8" s="20">
        <f>IF(C8="","",C8/1000*1000)</f>
        <v/>
      </c>
      <c r="E8" s="21">
        <f>IF(D8="","",(D8-B8)*1000)</f>
        <v/>
      </c>
      <c r="F8" s="22">
        <f>IF(OR(D8="",B8=0),"",(D8-B8)/B8*100)</f>
        <v/>
      </c>
      <c r="G8" s="23">
        <f>0.9/100*B8*1000+8</f>
        <v/>
      </c>
      <c r="H8" s="24">
        <f>IF(E8="","",IF(ABS(E8)&lt;=G8,"PASS","FAIL"))</f>
        <v/>
      </c>
    </row>
    <row r="9">
      <c r="A9" s="7" t="n">
        <v>5</v>
      </c>
      <c r="B9" s="14" t="n">
        <v>3.5</v>
      </c>
      <c r="C9" s="15" t="n"/>
      <c r="D9" s="16">
        <f>IF(C9="","",C9/1000*1000)</f>
        <v/>
      </c>
      <c r="E9" s="17">
        <f>IF(D9="","",(D9-B9)*1000)</f>
        <v/>
      </c>
      <c r="F9" s="18">
        <f>IF(OR(D9="",B9=0),"",(D9-B9)/B9*100)</f>
        <v/>
      </c>
      <c r="G9" s="19">
        <f>0.9/100*B9*1000+8</f>
        <v/>
      </c>
      <c r="H9" s="10">
        <f>IF(E9="","",IF(ABS(E9)&lt;=G9,"PASS","FAIL"))</f>
        <v/>
      </c>
    </row>
    <row r="10">
      <c r="A10" s="9" t="n">
        <v>6</v>
      </c>
      <c r="B10" s="14" t="n">
        <v>5</v>
      </c>
      <c r="C10" s="15" t="n"/>
      <c r="D10" s="20">
        <f>IF(C10="","",C10/1000*1000)</f>
        <v/>
      </c>
      <c r="E10" s="21">
        <f>IF(D10="","",(D10-B10)*1000)</f>
        <v/>
      </c>
      <c r="F10" s="22">
        <f>IF(OR(D10="",B10=0),"",(D10-B10)/B10*100)</f>
        <v/>
      </c>
      <c r="G10" s="23">
        <f>0.9/100*B10*1000+8</f>
        <v/>
      </c>
      <c r="H10" s="24">
        <f>IF(E10="","",IF(ABS(E10)&lt;=G10,"PASS","FAIL"))</f>
        <v/>
      </c>
    </row>
    <row r="12">
      <c r="A12" s="13" t="inlineStr">
        <is>
          <t>Overall</t>
        </is>
      </c>
      <c r="H12" s="25">
        <f>IF(COUNTA(C5:C10)=0,"",IF(COUNTIF(H5:H10,"FAIL")&gt;0,"FAIL","PASS"))</f>
        <v/>
      </c>
    </row>
    <row r="14">
      <c r="A14" s="5" t="inlineStr">
        <is>
          <t>GAIN CONSTANT (optional — takes the proportional term to ±0.25 % / ±0.15 %)</t>
        </is>
      </c>
      <c r="B14" s="5" t="n"/>
      <c r="C14" s="5" t="n"/>
      <c r="D14" s="5" t="n"/>
      <c r="E14" s="5" t="n"/>
      <c r="F14" s="5" t="n"/>
      <c r="G14" s="5" t="n"/>
      <c r="H14" s="5" t="n"/>
    </row>
    <row r="15">
      <c r="A15" s="3" t="inlineStr">
        <is>
          <t>k = true / indicated, from the highest point measured</t>
        </is>
      </c>
      <c r="C15" s="26">
        <f>IF(COUNTA(C5:C10)=0,"",INDEX(B5:B10,MATCH(MAX(B5:B10),B5:B10,0))/INDEX(D5:D10,MATCH(MAX(B5:B10),B5:B10,0)))</f>
        <v/>
      </c>
    </row>
    <row r="16">
      <c r="A16" s="2" t="inlineStr">
        <is>
          <t>Expect k within about ±1 % of 1.000. If k ≈ 2.0 your instrument is terminating into 50 Ω — use a 1 MΩ input.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66" customWidth="1" min="4" max="4"/>
  </cols>
  <sheetData>
    <row r="1">
      <c r="A1" s="1" t="inlineStr">
        <is>
          <t>Optional characterisation</t>
        </is>
      </c>
    </row>
    <row r="2">
      <c r="A2" s="2" t="inlineStr">
        <is>
          <t>None of this is needed to release a board. All of it is currently UNMEASURED for the design as a whole — results here would close real gaps in the documentation.</t>
        </is>
      </c>
    </row>
    <row r="4">
      <c r="A4" s="5" t="inlineStr">
        <is>
          <t>BANDWIDTH — design review finding 8 says the ×100 figure is not obviously set by any RC</t>
        </is>
      </c>
      <c r="B4" s="5" t="n"/>
      <c r="C4" s="5" t="n"/>
      <c r="D4" s="5" t="n"/>
    </row>
    <row r="5">
      <c r="A5" s="3" t="inlineStr">
        <is>
          <t>−3 dB bandwidth, 10 A range (×10)</t>
        </is>
      </c>
      <c r="B5" s="12" t="n"/>
      <c r="C5" s="3" t="inlineStr">
        <is>
          <t>kHz</t>
        </is>
      </c>
      <c r="D5" s="2" t="inlineStr">
        <is>
          <t>Documentation claims ≈500 kHz, set by the Si8921</t>
        </is>
      </c>
    </row>
    <row r="6">
      <c r="A6" s="3" t="inlineStr">
        <is>
          <t>−3 dB bandwidth, 5 A range (×100)</t>
        </is>
      </c>
      <c r="B6" s="12" t="n"/>
      <c r="C6" s="3" t="inlineStr">
        <is>
          <t>kHz</t>
        </is>
      </c>
      <c r="D6" s="2" t="inlineStr">
        <is>
          <t>Documentation claims ≈30 kHz; the schematic suggests 30–60 kHz</t>
        </is>
      </c>
    </row>
    <row r="8">
      <c r="A8" s="5" t="inlineStr">
        <is>
          <t>DRIFT — the whole fixed error term rests on this</t>
        </is>
      </c>
      <c r="B8" s="5" t="n"/>
      <c r="C8" s="5" t="n"/>
      <c r="D8" s="5" t="n"/>
    </row>
    <row r="9">
      <c r="A9" s="3" t="inlineStr">
        <is>
          <t>Zero at trim temperature</t>
        </is>
      </c>
      <c r="B9" s="12" t="n"/>
      <c r="C9" s="3" t="inlineStr">
        <is>
          <t>mV</t>
        </is>
      </c>
      <c r="D9" s="2" t="inlineStr">
        <is>
          <t>Baseline</t>
        </is>
      </c>
    </row>
    <row r="10">
      <c r="A10" s="3" t="inlineStr">
        <is>
          <t>Zero after +15 °C soak</t>
        </is>
      </c>
      <c r="B10" s="12" t="n"/>
      <c r="C10" s="3" t="inlineStr">
        <is>
          <t>mV</t>
        </is>
      </c>
      <c r="D10" s="2" t="inlineStr">
        <is>
          <t>Predicted ≈ 4.6 mV shift at the output, 5 A range</t>
        </is>
      </c>
    </row>
    <row r="11">
      <c r="A11" s="3" t="inlineStr">
        <is>
          <t>Zero after −15 °C soak</t>
        </is>
      </c>
      <c r="B11" s="12" t="n"/>
      <c r="C11" s="3" t="inlineStr">
        <is>
          <t>mV</t>
        </is>
      </c>
      <c r="D11" s="2" t="inlineStr"/>
    </row>
    <row r="12">
      <c r="A12" s="3" t="inlineStr">
        <is>
          <t>DiffAmpRef − ISenseRTN at trim temp</t>
        </is>
      </c>
      <c r="B12" s="12" t="n"/>
      <c r="C12" s="3" t="inlineStr">
        <is>
          <t>mV</t>
        </is>
      </c>
      <c r="D12" s="2" t="inlineStr">
        <is>
          <t>Measuring this over temperature replaces an ESTIMATE in the budget</t>
        </is>
      </c>
    </row>
    <row r="13">
      <c r="A13" s="3" t="inlineStr">
        <is>
          <t>DiffAmpRef − ISenseRTN after +15 °C</t>
        </is>
      </c>
      <c r="B13" s="12" t="n"/>
      <c r="C13" s="3" t="inlineStr">
        <is>
          <t>mV</t>
        </is>
      </c>
      <c r="D13" s="2" t="inlineStr">
        <is>
          <t>Directly measures the reference-drift term</t>
        </is>
      </c>
    </row>
    <row r="15">
      <c r="A15" s="5" t="inlineStr">
        <is>
          <t>THERMAL — design review finding 5</t>
        </is>
      </c>
      <c r="B15" s="5" t="n"/>
      <c r="C15" s="5" t="n"/>
      <c r="D15" s="5" t="n"/>
    </row>
    <row r="16">
      <c r="A16" s="3" t="inlineStr">
        <is>
          <t>U6 case temperature, 30 min, still air</t>
        </is>
      </c>
      <c r="B16" s="12" t="n"/>
      <c r="C16" s="3" t="inlineStr">
        <is>
          <t>°C</t>
        </is>
      </c>
      <c r="D16" s="2" t="inlineStr">
        <is>
          <t>Predicted ~0.6 W dissipation in a SOT-89</t>
        </is>
      </c>
    </row>
    <row r="17">
      <c r="A17" s="3" t="inlineStr">
        <is>
          <t>R5 shunt temperature at 10 A</t>
        </is>
      </c>
      <c r="B17" s="12" t="n"/>
      <c r="C17" s="3" t="inlineStr">
        <is>
          <t>°C</t>
        </is>
      </c>
      <c r="D17" s="2" t="inlineStr">
        <is>
          <t>Predicted ~33 °C rise; drives the self-heating error term</t>
        </is>
      </c>
    </row>
    <row r="18">
      <c r="A18" s="3" t="inlineStr">
        <is>
          <t>Ambient during thermal measurements</t>
        </is>
      </c>
      <c r="B18" s="12" t="n"/>
      <c r="C18" s="3" t="inlineStr">
        <is>
          <t>°C</t>
        </is>
      </c>
      <c r="D18" s="2" t="inlineStr"/>
    </row>
    <row r="20">
      <c r="A20" s="5" t="inlineStr">
        <is>
          <t>SUPPLY MARGIN — design review finding 2</t>
        </is>
      </c>
      <c r="B20" s="5" t="n"/>
      <c r="C20" s="5" t="n"/>
      <c r="D20" s="5" t="n"/>
    </row>
    <row r="21">
      <c r="A21" s="3" t="inlineStr">
        <is>
          <t>+12 rail at 15.0 V in</t>
        </is>
      </c>
      <c r="B21" s="12" t="n"/>
      <c r="C21" s="3" t="inlineStr">
        <is>
          <t>V</t>
        </is>
      </c>
      <c r="D21" s="2" t="inlineStr"/>
    </row>
    <row r="22">
      <c r="A22" s="3" t="inlineStr">
        <is>
          <t>+12 rail at 14.0 V in</t>
        </is>
      </c>
      <c r="B22" s="12" t="n"/>
      <c r="C22" s="3" t="inlineStr">
        <is>
          <t>V</t>
        </is>
      </c>
      <c r="D22" s="2" t="inlineStr">
        <is>
          <t>If this sags, U1 is in dropout — the whole point of finding 2</t>
        </is>
      </c>
    </row>
    <row r="23">
      <c r="A23" s="3" t="inlineStr">
        <is>
          <t>Lowest input voltage holding +12 V</t>
        </is>
      </c>
      <c r="B23" s="12" t="n"/>
      <c r="C23" s="3" t="inlineStr">
        <is>
          <t>V</t>
        </is>
      </c>
      <c r="D23" s="2" t="inlineStr">
        <is>
          <t>The real dropout threshold for this build</t>
        </is>
      </c>
    </row>
    <row r="25">
      <c r="A25" s="5" t="inlineStr">
        <is>
          <t>ISOLATION — see SAFETY.md before attempting anything here</t>
        </is>
      </c>
      <c r="B25" s="5" t="n"/>
      <c r="C25" s="5" t="n"/>
      <c r="D25" s="5" t="n"/>
    </row>
    <row r="26">
      <c r="A26" s="3" t="inlineStr">
        <is>
          <t>Measured barrier creepage, closest point</t>
        </is>
      </c>
      <c r="B26" s="12" t="n"/>
      <c r="C26" s="3" t="inlineStr">
        <is>
          <t>mm</t>
        </is>
      </c>
      <c r="D26" s="2" t="inlineStr">
        <is>
          <t>From the layout or the bare board. NOT yet verified for this design</t>
        </is>
      </c>
    </row>
    <row r="27">
      <c r="A27" s="3" t="inlineStr">
        <is>
          <t>Measured barrier clearance, closest point</t>
        </is>
      </c>
      <c r="B27" s="12" t="n"/>
      <c r="C27" s="3" t="inlineStr">
        <is>
          <t>mm</t>
        </is>
      </c>
      <c r="D27" s="2" t="inlineStr"/>
    </row>
    <row r="28">
      <c r="A28" s="3" t="inlineStr">
        <is>
          <t>Hipot / isolation test performed?</t>
        </is>
      </c>
      <c r="B28" s="12" t="n"/>
      <c r="C28" s="3" t="inlineStr"/>
      <c r="D28" s="2" t="inlineStr">
        <is>
          <t>Only with proper equipment and precautions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>
      <c r="A1" s="1" t="inlineStr">
        <is>
          <t>Summary and sign-off</t>
        </is>
      </c>
    </row>
    <row r="2">
      <c r="A2" s="2" t="inlineStr">
        <is>
          <t>Pulls the result from each sheet. Nothing to fill in except the comments and the sign-off.</t>
        </is>
      </c>
    </row>
    <row r="4">
      <c r="A4" s="3" t="inlineStr">
        <is>
          <t>Board serial</t>
        </is>
      </c>
      <c r="B4" s="27">
        <f>'1 Board'!B4</f>
        <v/>
      </c>
    </row>
    <row r="5">
      <c r="A5" s="3" t="inlineStr">
        <is>
          <t>Date</t>
        </is>
      </c>
      <c r="B5" s="27">
        <f>'1 Board'!B5</f>
        <v/>
      </c>
    </row>
    <row r="6">
      <c r="A6" s="3" t="inlineStr">
        <is>
          <t>Ambient at test (°C)</t>
        </is>
      </c>
      <c r="B6" s="27">
        <f>'1 Board'!B10</f>
        <v/>
      </c>
    </row>
    <row r="8">
      <c r="A8" s="3" t="inlineStr">
        <is>
          <t>Bring-up</t>
        </is>
      </c>
      <c r="B8" s="27">
        <f>IF(COUNTIF('2 Bring-up'!E5:E22,"FAIL")&gt;0,"FAIL",IF(COUNTIF('2 Bring-up'!E5:E22,"PASS")=0,"not done","PASS"))</f>
        <v/>
      </c>
    </row>
    <row r="9">
      <c r="A9" s="3" t="inlineStr">
        <is>
          <t>Zero trim residual (mV)</t>
        </is>
      </c>
      <c r="B9" s="27">
        <f>'3 Zero trim'!B6</f>
        <v/>
      </c>
    </row>
    <row r="10">
      <c r="A10" s="3" t="inlineStr">
        <is>
          <t>Zero trim</t>
        </is>
      </c>
      <c r="B10" s="27">
        <f>'3 Zero trim'!B10</f>
        <v/>
      </c>
    </row>
    <row r="11">
      <c r="A11" s="3" t="inlineStr">
        <is>
          <t>Accuracy, 10 A range</t>
        </is>
      </c>
      <c r="B11" s="27">
        <f>'4 Accuracy 10A'!H12</f>
        <v/>
      </c>
    </row>
    <row r="12">
      <c r="A12" s="3" t="inlineStr">
        <is>
          <t>Accuracy, 5 A range</t>
        </is>
      </c>
      <c r="B12" s="27">
        <f>'5 Accuracy 5A'!H12</f>
        <v/>
      </c>
    </row>
    <row r="14">
      <c r="A14" s="3" t="inlineStr">
        <is>
          <t>Gain constant k, 10 A range</t>
        </is>
      </c>
      <c r="B14" s="27">
        <f>'4 Accuracy 10A'!C15</f>
        <v/>
      </c>
    </row>
    <row r="15">
      <c r="A15" s="3" t="inlineStr">
        <is>
          <t>Gain constant k, 5 A range</t>
        </is>
      </c>
      <c r="B15" s="27">
        <f>'5 Accuracy 5A'!C15</f>
        <v/>
      </c>
    </row>
    <row r="17">
      <c r="A17" s="5" t="inlineStr">
        <is>
          <t>OVERALL</t>
        </is>
      </c>
      <c r="B17" s="5" t="n"/>
      <c r="C17" s="5" t="n"/>
    </row>
    <row r="18">
      <c r="A18" s="13" t="inlineStr">
        <is>
          <t>Board result</t>
        </is>
      </c>
      <c r="B18" s="25">
        <f>IF(OR(B8="FAIL",B9="FAIL",B11="FAIL",B12="FAIL"),"FAIL",IF(OR(B8="not done",B11="",B12=""),"INCOMPLETE","PASS"))</f>
        <v/>
      </c>
    </row>
    <row r="20">
      <c r="A20" s="3" t="inlineStr">
        <is>
          <t>Comments / anomalies</t>
        </is>
      </c>
      <c r="B20" s="28" t="n"/>
    </row>
    <row r="21">
      <c r="B21" s="28" t="n"/>
    </row>
    <row r="22">
      <c r="B22" s="28" t="n"/>
    </row>
    <row r="23">
      <c r="B23" s="28" t="n"/>
    </row>
    <row r="24">
      <c r="A24" s="3" t="inlineStr">
        <is>
          <t>Tested by</t>
        </is>
      </c>
      <c r="B24" s="28" t="n"/>
    </row>
    <row r="25">
      <c r="A25" s="3" t="inlineStr">
        <is>
          <t>Date</t>
        </is>
      </c>
      <c r="B25" s="28" t="n"/>
    </row>
    <row r="26">
      <c r="A26" s="3" t="inlineStr">
        <is>
          <t>Reviewed by</t>
        </is>
      </c>
      <c r="B26" s="28" t="n"/>
    </row>
    <row r="28">
      <c r="A28" s="2" t="inlineStr">
        <is>
          <t>Write the two gain constants on the board or its label. A calibration nobody can find is a calibration nobody uses.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2026-08-20T14:40:43Z</dcterms:created>
  <dcterms:modified xmlns:dcterms="http://purl.org/dc/terms/" xmlns:xsi="http://www.w3.org/2001/XMLSchema-instance" xsi:type="dcterms:W3CDTF">2026-08-20T14:40:43Z</dcterms:modified>
</cp:coreProperties>
</file>