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Board" sheetId="1" state="visible" r:id="rId3"/>
    <sheet name="2 Bring-up" sheetId="2" state="visible" r:id="rId4"/>
    <sheet name="3 Zero trim" sheetId="3" state="visible" r:id="rId5"/>
    <sheet name="4 Accuracy 10A" sheetId="4" state="visible" r:id="rId6"/>
    <sheet name="5 Accuracy 5A" sheetId="5" state="visible" r:id="rId7"/>
    <sheet name="6 Optional" sheetId="6" state="visible" r:id="rId8"/>
    <sheet name="7 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<sst xmlns="http://schemas.openxmlformats.org/spreadsheetml/2006/main" count="186" uniqueCount="156">
  <si>
    <t xml:space="preserve">Test record — MelansonTech Isolated Shunt Amplifier Rev 2</t>
  </si>
  <si>
    <t xml:space="preserve">One copy per board. Fill the yellow cells; everything else calculates. See docs/CALIBRATION.md for the procedures.</t>
  </si>
  <si>
    <t xml:space="preserve">Board serial / identifier</t>
  </si>
  <si>
    <t xml:space="preserve">Whatever you mark on the board</t>
  </si>
  <si>
    <t xml:space="preserve">Date tested</t>
  </si>
  <si>
    <t xml:space="preserve">YYYY-MM-DD</t>
  </si>
  <si>
    <t xml:space="preserve">Tested by</t>
  </si>
  <si>
    <t xml:space="preserve">Assembly revision</t>
  </si>
  <si>
    <t xml:space="preserve">Rev 2</t>
  </si>
  <si>
    <t xml:space="preserve">AMBIENT AND CONDITIONS</t>
  </si>
  <si>
    <t xml:space="preserve">Ambient temperature at test</t>
  </si>
  <si>
    <t xml:space="preserve">°C — the spec is written at 23 °C ±5 °C</t>
  </si>
  <si>
    <t xml:space="preserve">Warm-up before trimming (minutes)</t>
  </si>
  <si>
    <t xml:space="preserve">30 minutes minimum, see CALIBRATION.md</t>
  </si>
  <si>
    <t xml:space="preserve">Auxiliary supply voltage, measured</t>
  </si>
  <si>
    <t xml:space="preserve">V — measure it at the jack. 13–15 V works; 15 V is needed for the full spec</t>
  </si>
  <si>
    <t xml:space="preserve">Auxiliary supply isolated?</t>
  </si>
  <si>
    <t xml:space="preserve">MUST be floating. See SAFETY.md and the README</t>
  </si>
  <si>
    <t xml:space="preserve">EQUIPMENT USED</t>
  </si>
  <si>
    <t xml:space="preserve">DMM / scope model and serial</t>
  </si>
  <si>
    <t xml:space="preserve">Current source or reference ammeter</t>
  </si>
  <si>
    <t xml:space="preserve">Reference ammeter accuracy</t>
  </si>
  <si>
    <t xml:space="preserve">Needs to be better than the board to mean anything</t>
  </si>
  <si>
    <t xml:space="preserve">Instrument input impedance</t>
  </si>
  <si>
    <t xml:space="preserve">1 MΩ</t>
  </si>
  <si>
    <t xml:space="preserve">A 50 Ω terminated input reads HALF</t>
  </si>
  <si>
    <t xml:space="preserve">Bring-up — first power-on</t>
  </si>
  <si>
    <t xml:space="preserve">J2 disconnected, isolated supply, current limit ~200 mA. Order matters: work down the sheet.</t>
  </si>
  <si>
    <t xml:space="preserve">Step</t>
  </si>
  <si>
    <t xml:space="preserve">Check</t>
  </si>
  <si>
    <t xml:space="preserve">Expected</t>
  </si>
  <si>
    <t xml:space="preserve">Measured</t>
  </si>
  <si>
    <t xml:space="preserve">Result</t>
  </si>
  <si>
    <t xml:space="preserve">Visual — solder bridges at J1, J2, J4</t>
  </si>
  <si>
    <t xml:space="preserve">none</t>
  </si>
  <si>
    <t xml:space="preserve">Visual — U2 and PSU1 orientation</t>
  </si>
  <si>
    <t xml:space="preserve">correct</t>
  </si>
  <si>
    <t xml:space="preserve">SW1 position 1 (Off): supply current</t>
  </si>
  <si>
    <t xml:space="preserve">≈ 0 mA</t>
  </si>
  <si>
    <t xml:space="preserve">SW1 position 2 (10 A range): supply current</t>
  </si>
  <si>
    <t xml:space="preserve">90–100 mA</t>
  </si>
  <si>
    <t xml:space="preserve">SW1 position 2: D5 lit, D4 dark</t>
  </si>
  <si>
    <t xml:space="preserve">exactly one lit</t>
  </si>
  <si>
    <t xml:space="preserve">SW1 position 3 (5 A range): D4 lit, D5 dark</t>
  </si>
  <si>
    <t xml:space="preserve">SW1 position 3: Rel1 audibly operates</t>
  </si>
  <si>
    <t xml:space="preserve">click heard/felt</t>
  </si>
  <si>
    <t xml:space="preserve">Nothing overheating (U6 warm is normal)</t>
  </si>
  <si>
    <t xml:space="preserve">no fast heating</t>
  </si>
  <si>
    <t xml:space="preserve">Output near zero before trim</t>
  </si>
  <si>
    <t xml:space="preserve">within ±50 mV</t>
  </si>
  <si>
    <t xml:space="preserve">RAIL CHECK</t>
  </si>
  <si>
    <t xml:space="preserve">VregIn</t>
  </si>
  <si>
    <t xml:space="preserve">≈ Vin − 0.37 V</t>
  </si>
  <si>
    <t xml:space="preserve">+12</t>
  </si>
  <si>
    <t xml:space="preserve">12 V if Vin ≥ 14.9 V, else ≈ Vin − 2.07 V</t>
  </si>
  <si>
    <t xml:space="preserve">+5</t>
  </si>
  <si>
    <t xml:space="preserve">5 V ±5 %</t>
  </si>
  <si>
    <t xml:space="preserve">+5_ISO</t>
  </si>
  <si>
    <t xml:space="preserve">5 V, isolated side</t>
  </si>
  <si>
    <t xml:space="preserve">ISenseRTN, relative to board 0 V</t>
  </si>
  <si>
    <t xml:space="preserve">≈ 6 V</t>
  </si>
  <si>
    <t xml:space="preserve">DiffAmpRef, relative to board 0 V</t>
  </si>
  <si>
    <t xml:space="preserve">The +12 check reads your measured supply from the Board sheet. Above 14.9 V it expects a regulated 12 V; below that it expects an unregulated rail at roughly Vin − 2.07 V, which is correct behaviour, not a fault. See finding 2 in DESIGN_REVIEW.md.</t>
  </si>
  <si>
    <t xml:space="preserve">Zero trim — R28</t>
  </si>
  <si>
    <t xml:space="preserve">J2 open or shorted, 30 minutes warm-up, SW1 position 3 (5 A range, ×100). A null on this range holds on the other.</t>
  </si>
  <si>
    <t xml:space="preserve">Temperature at which the trim was made</t>
  </si>
  <si>
    <t xml:space="preserve">°C</t>
  </si>
  <si>
    <t xml:space="preserve">Record it — the residual drift from here is what limits zero stability</t>
  </si>
  <si>
    <t xml:space="preserve">Output before trimming</t>
  </si>
  <si>
    <t xml:space="preserve">mV</t>
  </si>
  <si>
    <t xml:space="preserve">IsenseOut relative to ISenseRTN</t>
  </si>
  <si>
    <t xml:space="preserve">Output after trimming</t>
  </si>
  <si>
    <t xml:space="preserve">As close to zero as you can hold</t>
  </si>
  <si>
    <t xml:space="preserve">R28 value fitted</t>
  </si>
  <si>
    <t xml:space="preserve">Ω</t>
  </si>
  <si>
    <t xml:space="preserve">Should be 100 Ω. The BOM's 10 kΩ line is an error</t>
  </si>
  <si>
    <t xml:space="preserve">Trim position within travel</t>
  </si>
  <si>
    <t xml:space="preserve">centre / near one end / at the end</t>
  </si>
  <si>
    <t xml:space="preserve">Residual within ±5 mV?</t>
  </si>
  <si>
    <t xml:space="preserve">A few mV is normal. If it will not null at either extreme of travel, fit a 200 Ω trimmer — see CALIBRATION.md.</t>
  </si>
  <si>
    <t xml:space="preserve">If the trim runs out of range: the chain's static offset exceeds ±3 mV. This is a tolerance</t>
  </si>
  <si>
    <t xml:space="preserve">stack, not a fault — at datasheet limits it can reach ±24 mV. Fit 200 Ω, which doubles the</t>
  </si>
  <si>
    <t xml:space="preserve">range and still resolves to 0.12 % of full scale. Note it in the comments so the population</t>
  </si>
  <si>
    <t xml:space="preserve">is tracked.</t>
  </si>
  <si>
    <t xml:space="preserve">Re-trim whenever the board has moved temperature and small readings matter. Re-trimming at</t>
  </si>
  <si>
    <t xml:space="preserve">the working temperature takes the fixed error term from 11.3 mA to 9.1 mA on the 10 A range.</t>
  </si>
  <si>
    <t xml:space="preserve">Accuracy — 10 A range (×10)</t>
  </si>
  <si>
    <t xml:space="preserve">SW1 to this range. Nominal 100 mV/A, full scale 10 A. Published spec: ±(1.0 % of reading + 12 mA). Zero trim must be done first.</t>
  </si>
  <si>
    <t xml:space="preserve">Point</t>
  </si>
  <si>
    <t xml:space="preserve">True current
(A)</t>
  </si>
  <si>
    <t xml:space="preserve">Output measured
(V)</t>
  </si>
  <si>
    <t xml:space="preserve">Indicated current
(A)</t>
  </si>
  <si>
    <t xml:space="preserve">Error
(mA)</t>
  </si>
  <si>
    <t xml:space="preserve">Error
(% of reading)</t>
  </si>
  <si>
    <t xml:space="preserve">Spec limit
(± mA)</t>
  </si>
  <si>
    <t xml:space="preserve">Overall</t>
  </si>
  <si>
    <t xml:space="preserve">GAIN CONSTANT (optional — takes the proportional term to ±0.25 % / ±0.15 %)</t>
  </si>
  <si>
    <t xml:space="preserve">k = true / indicated, from the highest point measured</t>
  </si>
  <si>
    <t xml:space="preserve">Expect k within about ±1 % of 1.000. If k ≈ 2.0 your instrument is terminating into 50 Ω — use a 1 MΩ input.</t>
  </si>
  <si>
    <t xml:space="preserve">Accuracy — 5 A range (×100)</t>
  </si>
  <si>
    <t xml:space="preserve">SW1 to this range. Nominal 1000 mV/A, full scale 5 A. Published spec: ±(0.9 % of reading + 8 mA). Zero trim must be done first.</t>
  </si>
  <si>
    <t xml:space="preserve">Optional characterisation</t>
  </si>
  <si>
    <t xml:space="preserve">None of this is needed to release a board. All of it is currently UNMEASURED for the design as a whole — results here would close real gaps in the documentation.</t>
  </si>
  <si>
    <t xml:space="preserve">BANDWIDTH — design review finding 8 says the ×100 figure is not obviously set by any RC</t>
  </si>
  <si>
    <t xml:space="preserve">−3 dB bandwidth, 10 A range (×10)</t>
  </si>
  <si>
    <t xml:space="preserve">kHz</t>
  </si>
  <si>
    <t xml:space="preserve">Documentation claims ≈500 kHz, set by the Si8921</t>
  </si>
  <si>
    <t xml:space="preserve">−3 dB bandwidth, 5 A range (×100)</t>
  </si>
  <si>
    <t xml:space="preserve">Documentation claims ≈30 kHz; the schematic suggests 30–60 kHz</t>
  </si>
  <si>
    <t xml:space="preserve">DRIFT — the whole fixed error term rests on this</t>
  </si>
  <si>
    <t xml:space="preserve">Zero at trim temperature</t>
  </si>
  <si>
    <t xml:space="preserve">Baseline</t>
  </si>
  <si>
    <t xml:space="preserve">Zero after +15 °C soak</t>
  </si>
  <si>
    <t xml:space="preserve">Predicted ≈ 4.6 mV shift at the output, 5 A range</t>
  </si>
  <si>
    <t xml:space="preserve">Zero after −15 °C soak</t>
  </si>
  <si>
    <t xml:space="preserve">DiffAmpRef − ISenseRTN at trim temp</t>
  </si>
  <si>
    <t xml:space="preserve">Measuring this over temperature replaces an ESTIMATE in the budget</t>
  </si>
  <si>
    <t xml:space="preserve">DiffAmpRef − ISenseRTN after +15 °C</t>
  </si>
  <si>
    <t xml:space="preserve">Directly measures the reference-drift term</t>
  </si>
  <si>
    <t xml:space="preserve">THERMAL — design review finding 5</t>
  </si>
  <si>
    <t xml:space="preserve">U6 case temperature, 30 min, still air</t>
  </si>
  <si>
    <t xml:space="preserve">Predicted ~0.6 W dissipation in a SOT-89</t>
  </si>
  <si>
    <t xml:space="preserve">R5 shunt temperature at 10 A</t>
  </si>
  <si>
    <t xml:space="preserve">Predicted ~33 °C rise; drives the self-heating error term</t>
  </si>
  <si>
    <t xml:space="preserve">Ambient during thermal measurements</t>
  </si>
  <si>
    <t xml:space="preserve">SUPPLY MARGIN — design review finding 2</t>
  </si>
  <si>
    <t xml:space="preserve">+12 rail at 15.0 V in</t>
  </si>
  <si>
    <t xml:space="preserve">V</t>
  </si>
  <si>
    <t xml:space="preserve">+12 rail at 14.0 V in</t>
  </si>
  <si>
    <t xml:space="preserve">If this sags, U1 is in dropout — the whole point of finding 2</t>
  </si>
  <si>
    <t xml:space="preserve">Lowest input voltage holding +12 V</t>
  </si>
  <si>
    <t xml:space="preserve">The real dropout threshold for this build</t>
  </si>
  <si>
    <t xml:space="preserve">ISOLATION — see SAFETY.md before attempting anything here</t>
  </si>
  <si>
    <t xml:space="preserve">Measured barrier creepage, closest point</t>
  </si>
  <si>
    <t xml:space="preserve">mm</t>
  </si>
  <si>
    <t xml:space="preserve">From the layout or the bare board. NOT yet verified for this design</t>
  </si>
  <si>
    <t xml:space="preserve">Measured barrier clearance, closest point</t>
  </si>
  <si>
    <t xml:space="preserve">Hipot / isolation test performed?</t>
  </si>
  <si>
    <t xml:space="preserve">Only with proper equipment and precautions</t>
  </si>
  <si>
    <t xml:space="preserve">Summary and sign-off</t>
  </si>
  <si>
    <t xml:space="preserve">Pulls the result from each sheet. Nothing to fill in except the comments and the sign-off.</t>
  </si>
  <si>
    <t xml:space="preserve">Board serial</t>
  </si>
  <si>
    <t xml:space="preserve">Date</t>
  </si>
  <si>
    <t xml:space="preserve">Ambient at test (°C)</t>
  </si>
  <si>
    <t xml:space="preserve">Bring-up</t>
  </si>
  <si>
    <t xml:space="preserve">Zero trim residual (mV)</t>
  </si>
  <si>
    <t xml:space="preserve">Zero trim</t>
  </si>
  <si>
    <t xml:space="preserve">Accuracy, 10 A range</t>
  </si>
  <si>
    <t xml:space="preserve">Accuracy, 5 A range</t>
  </si>
  <si>
    <t xml:space="preserve">Gain constant k, 10 A range</t>
  </si>
  <si>
    <t xml:space="preserve">Gain constant k, 5 A range</t>
  </si>
  <si>
    <t xml:space="preserve">OVERALL</t>
  </si>
  <si>
    <t xml:space="preserve">Board result</t>
  </si>
  <si>
    <t xml:space="preserve">Comments / anomalies</t>
  </si>
  <si>
    <t xml:space="preserve">Reviewed by</t>
  </si>
  <si>
    <t xml:space="preserve">Write the two gain constants on the board or its label. A calibration nobody can find is a calibration nobody uses.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</si>
</sst>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0.0000"/>
    <numFmt numFmtId="167" formatCode="0.00000"/>
    <numFmt numFmtId="168" formatCode="0.00"/>
    <numFmt numFmtId="169" formatCode="0.000\%"/>
    <numFmt numFmtId="170" formatCode="0.0"/>
    <numFmt numFmtId="171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9D6"/>
        <bgColor rgb="FFFFFFFF"/>
      </patternFill>
    </fill>
    <fill>
      <patternFill patternType="solid">
        <fgColor rgb="FF1F4E79"/>
        <bgColor rgb="FF003366"/>
      </patternFill>
    </fill>
    <fill>
      <patternFill patternType="solid">
        <fgColor rgb="FFEEF3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D6"/>
      </left>
      <right style="thin">
        <color rgb="FFB7C6D6"/>
      </right>
      <top style="thin">
        <color rgb="FFB7C6D6"/>
      </top>
      <bottom style="thin">
        <color rgb="FFB7C6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6"/>
      <rgbColor rgb="FF808080"/>
      <rgbColor rgb="FF9999FF"/>
      <rgbColor rgb="FF993366"/>
      <rgbColor rgb="FFFFF9D6"/>
      <rgbColor rgb="FFEEF3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6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2" t="s">
        <v>3</v>
      </c>
    </row>
    <row r="5" customFormat="false" ht="15" hidden="false" customHeight="false" outlineLevel="0" collapsed="false">
      <c r="A5" s="3" t="s">
        <v>4</v>
      </c>
      <c r="B5" s="4"/>
      <c r="C5" s="2" t="s">
        <v>5</v>
      </c>
    </row>
    <row r="6" customFormat="false" ht="15" hidden="false" customHeight="false" outlineLevel="0" collapsed="false">
      <c r="A6" s="3" t="s">
        <v>6</v>
      </c>
      <c r="B6" s="4"/>
      <c r="C6" s="2"/>
    </row>
    <row r="7" customFormat="false" ht="15" hidden="false" customHeight="false" outlineLevel="0" collapsed="false">
      <c r="A7" s="3" t="s">
        <v>7</v>
      </c>
      <c r="B7" s="4" t="s">
        <v>8</v>
      </c>
      <c r="C7" s="2"/>
    </row>
    <row r="9" customFormat="false" ht="15" hidden="false" customHeight="false" outlineLevel="0" collapsed="false">
      <c r="A9" s="5" t="s">
        <v>9</v>
      </c>
      <c r="B9" s="5"/>
      <c r="C9" s="5"/>
    </row>
    <row r="10" customFormat="false" ht="15" hidden="false" customHeight="false" outlineLevel="0" collapsed="false">
      <c r="A10" s="3" t="s">
        <v>10</v>
      </c>
      <c r="B10" s="4"/>
      <c r="C10" s="2" t="s">
        <v>11</v>
      </c>
    </row>
    <row r="11" customFormat="false" ht="15" hidden="false" customHeight="false" outlineLevel="0" collapsed="false">
      <c r="A11" s="3" t="s">
        <v>12</v>
      </c>
      <c r="B11" s="4"/>
      <c r="C11" s="2" t="s">
        <v>13</v>
      </c>
    </row>
    <row r="12" customFormat="false" ht="15" hidden="false" customHeight="false" outlineLevel="0" collapsed="false">
      <c r="A12" s="3" t="s">
        <v>14</v>
      </c>
      <c r="B12" s="4"/>
      <c r="C12" s="2" t="s">
        <v>15</v>
      </c>
    </row>
    <row r="13" customFormat="false" ht="15" hidden="false" customHeight="false" outlineLevel="0" collapsed="false">
      <c r="A13" s="3" t="s">
        <v>16</v>
      </c>
      <c r="B13" s="4"/>
      <c r="C13" s="2" t="s">
        <v>17</v>
      </c>
    </row>
    <row r="15" customFormat="false" ht="15" hidden="false" customHeight="false" outlineLevel="0" collapsed="false">
      <c r="A15" s="5" t="s">
        <v>18</v>
      </c>
      <c r="B15" s="5"/>
      <c r="C15" s="5"/>
    </row>
    <row r="16" customFormat="false" ht="15" hidden="false" customHeight="false" outlineLevel="0" collapsed="false">
      <c r="A16" s="3" t="s">
        <v>19</v>
      </c>
      <c r="B16" s="4"/>
      <c r="C16" s="2"/>
    </row>
    <row r="17" customFormat="false" ht="15" hidden="false" customHeight="false" outlineLevel="0" collapsed="false">
      <c r="A17" s="3" t="s">
        <v>20</v>
      </c>
      <c r="B17" s="4"/>
      <c r="C17" s="2"/>
    </row>
    <row r="18" customFormat="false" ht="15" hidden="false" customHeight="false" outlineLevel="0" collapsed="false">
      <c r="A18" s="3" t="s">
        <v>21</v>
      </c>
      <c r="B18" s="4"/>
      <c r="C18" s="2" t="s">
        <v>22</v>
      </c>
    </row>
    <row r="19" customFormat="false" ht="15" hidden="false" customHeight="false" outlineLevel="0" collapsed="false">
      <c r="A19" s="3" t="s">
        <v>23</v>
      </c>
      <c r="B19" s="4" t="s">
        <v>24</v>
      </c>
      <c r="C19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16.1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27.75" hidden="false" customHeight="true" outlineLevel="0" collapsed="false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</row>
    <row r="5" customFormat="false" ht="15" hidden="false" customHeight="false" outlineLevel="0" collapsed="false">
      <c r="A5" s="7" t="n">
        <v>1</v>
      </c>
      <c r="B5" s="7" t="s">
        <v>33</v>
      </c>
      <c r="C5" s="7" t="s">
        <v>34</v>
      </c>
      <c r="D5" s="4"/>
      <c r="E5" s="8"/>
    </row>
    <row r="6" customFormat="false" ht="15" hidden="false" customHeight="false" outlineLevel="0" collapsed="false">
      <c r="A6" s="9" t="n">
        <v>2</v>
      </c>
      <c r="B6" s="9" t="s">
        <v>35</v>
      </c>
      <c r="C6" s="9" t="s">
        <v>36</v>
      </c>
      <c r="D6" s="4"/>
      <c r="E6" s="8"/>
    </row>
    <row r="7" customFormat="false" ht="15" hidden="false" customHeight="false" outlineLevel="0" collapsed="false">
      <c r="A7" s="7" t="n">
        <v>3</v>
      </c>
      <c r="B7" s="7" t="s">
        <v>37</v>
      </c>
      <c r="C7" s="7" t="s">
        <v>38</v>
      </c>
      <c r="D7" s="4"/>
      <c r="E7" s="10" t="str">
        <f aca="false">IF(D7="","",IF(ABS(D7)&lt;5,"PASS","FAIL"))</f>
        <v/>
      </c>
    </row>
    <row r="8" customFormat="false" ht="15" hidden="false" customHeight="false" outlineLevel="0" collapsed="false">
      <c r="A8" s="9" t="n">
        <v>4</v>
      </c>
      <c r="B8" s="9" t="s">
        <v>39</v>
      </c>
      <c r="C8" s="9" t="s">
        <v>40</v>
      </c>
      <c r="D8" s="4"/>
      <c r="E8" s="10" t="str">
        <f aca="false">IF(D8="","",IF(AND(D8&gt;60,D8&lt;130),"PASS","FAIL"))</f>
        <v/>
      </c>
    </row>
    <row r="9" customFormat="false" ht="15" hidden="false" customHeight="false" outlineLevel="0" collapsed="false">
      <c r="A9" s="7" t="n">
        <v>5</v>
      </c>
      <c r="B9" s="7" t="s">
        <v>41</v>
      </c>
      <c r="C9" s="7" t="s">
        <v>42</v>
      </c>
      <c r="D9" s="4"/>
      <c r="E9" s="8"/>
    </row>
    <row r="10" customFormat="false" ht="15" hidden="false" customHeight="false" outlineLevel="0" collapsed="false">
      <c r="A10" s="9" t="n">
        <v>6</v>
      </c>
      <c r="B10" s="9" t="s">
        <v>43</v>
      </c>
      <c r="C10" s="9" t="s">
        <v>42</v>
      </c>
      <c r="D10" s="4"/>
      <c r="E10" s="8"/>
    </row>
    <row r="11" customFormat="false" ht="15" hidden="false" customHeight="false" outlineLevel="0" collapsed="false">
      <c r="A11" s="7" t="n">
        <v>7</v>
      </c>
      <c r="B11" s="7" t="s">
        <v>44</v>
      </c>
      <c r="C11" s="7" t="s">
        <v>45</v>
      </c>
      <c r="D11" s="4"/>
      <c r="E11" s="8"/>
    </row>
    <row r="12" customFormat="false" ht="15" hidden="false" customHeight="false" outlineLevel="0" collapsed="false">
      <c r="A12" s="9" t="n">
        <v>8</v>
      </c>
      <c r="B12" s="9" t="s">
        <v>46</v>
      </c>
      <c r="C12" s="9" t="s">
        <v>47</v>
      </c>
      <c r="D12" s="4"/>
      <c r="E12" s="8"/>
    </row>
    <row r="13" customFormat="false" ht="15" hidden="false" customHeight="false" outlineLevel="0" collapsed="false">
      <c r="A13" s="7" t="n">
        <v>9</v>
      </c>
      <c r="B13" s="7" t="s">
        <v>48</v>
      </c>
      <c r="C13" s="7" t="s">
        <v>49</v>
      </c>
      <c r="D13" s="4"/>
      <c r="E13" s="10" t="str">
        <f aca="false">IF(D13="","",IF(ABS(D13)&lt;50,"PASS","FAIL"))</f>
        <v/>
      </c>
    </row>
    <row r="15" customFormat="false" ht="15" hidden="false" customHeight="false" outlineLevel="0" collapsed="false">
      <c r="A15" s="5"/>
      <c r="B15" s="5" t="s">
        <v>50</v>
      </c>
      <c r="C15" s="5"/>
      <c r="D15" s="5"/>
      <c r="E15" s="5"/>
    </row>
    <row r="16" customFormat="false" ht="15" hidden="false" customHeight="false" outlineLevel="0" collapsed="false">
      <c r="A16" s="11"/>
      <c r="B16" s="7" t="s">
        <v>51</v>
      </c>
      <c r="C16" s="7" t="s">
        <v>52</v>
      </c>
      <c r="D16" s="12"/>
      <c r="E16" s="10" t="str">
        <f aca="false">IF(D16="","",IF(AND(D16&gt;12.4,D16&lt;15.7),"PASS","FAIL"))</f>
        <v/>
      </c>
    </row>
    <row r="17" customFormat="false" ht="15" hidden="false" customHeight="false" outlineLevel="0" collapsed="false">
      <c r="A17" s="11"/>
      <c r="B17" s="7" t="s">
        <v>53</v>
      </c>
      <c r="C17" s="7" t="s">
        <v>54</v>
      </c>
      <c r="D17" s="12"/>
      <c r="E17" s="10" t="str">
        <f aca="false">IF(OR(D17="",'1 Board'!B12=""),"",IF('1 Board'!B12&gt;=14.9,IF(AND(D17&gt;11.5,D17&lt;12.5),"PASS","FAIL"),IF(ABS(D17-('1 Board'!B12-2.07))&lt;0.6,"PASS (unregulated, expected)","FAIL")))</f>
        <v/>
      </c>
    </row>
    <row r="18" customFormat="false" ht="15" hidden="false" customHeight="false" outlineLevel="0" collapsed="false">
      <c r="A18" s="11"/>
      <c r="B18" s="7" t="s">
        <v>55</v>
      </c>
      <c r="C18" s="7" t="s">
        <v>56</v>
      </c>
      <c r="D18" s="12"/>
      <c r="E18" s="10" t="str">
        <f aca="false">IF(D18="","",IF(AND(D18&gt;4.75,D18&lt;5.25),"PASS","FAIL"))</f>
        <v/>
      </c>
    </row>
    <row r="19" customFormat="false" ht="15" hidden="false" customHeight="false" outlineLevel="0" collapsed="false">
      <c r="A19" s="11"/>
      <c r="B19" s="7" t="s">
        <v>57</v>
      </c>
      <c r="C19" s="7" t="s">
        <v>58</v>
      </c>
      <c r="D19" s="12"/>
      <c r="E19" s="10" t="str">
        <f aca="false">IF(D19="","",IF(AND(D19&gt;4.6,D19&lt;5.6),"PASS","FAIL"))</f>
        <v/>
      </c>
    </row>
    <row r="20" customFormat="false" ht="15" hidden="false" customHeight="false" outlineLevel="0" collapsed="false">
      <c r="A20" s="11"/>
      <c r="B20" s="7" t="s">
        <v>59</v>
      </c>
      <c r="C20" s="7" t="s">
        <v>60</v>
      </c>
      <c r="D20" s="12"/>
      <c r="E20" s="10" t="str">
        <f aca="false">IF(D20="","",IF(AND(D20&gt;5.7,D20&lt;6.3),"PASS","FAIL"))</f>
        <v/>
      </c>
    </row>
    <row r="21" customFormat="false" ht="15" hidden="false" customHeight="false" outlineLevel="0" collapsed="false">
      <c r="A21" s="11"/>
      <c r="B21" s="7" t="s">
        <v>61</v>
      </c>
      <c r="C21" s="7" t="s">
        <v>60</v>
      </c>
      <c r="D21" s="12"/>
      <c r="E21" s="10" t="str">
        <f aca="false">IF(D21="","",IF(AND(D21&gt;5.7,D21&lt;6.3),"PASS","FAIL"))</f>
        <v/>
      </c>
    </row>
    <row r="23" customFormat="false" ht="15" hidden="false" customHeight="false" outlineLevel="0" collapsed="false">
      <c r="B23" s="2" t="s">
        <v>62</v>
      </c>
    </row>
  </sheetData>
  <dataValidations count="1">
    <dataValidation allowBlank="true" errorStyle="stop" operator="between" showDropDown="false" showErrorMessage="false" showInputMessage="false" sqref="E5:E6 E9:E12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58"/>
  </cols>
  <sheetData>
    <row r="1" customFormat="false" ht="16.1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15" hidden="false" customHeight="false" outlineLevel="0" collapsed="false">
      <c r="A4" s="3" t="s">
        <v>65</v>
      </c>
      <c r="B4" s="12"/>
      <c r="C4" s="3" t="s">
        <v>66</v>
      </c>
      <c r="D4" s="2" t="s">
        <v>67</v>
      </c>
    </row>
    <row r="5" customFormat="false" ht="15" hidden="false" customHeight="false" outlineLevel="0" collapsed="false">
      <c r="A5" s="3" t="s">
        <v>68</v>
      </c>
      <c r="B5" s="12"/>
      <c r="C5" s="3" t="s">
        <v>69</v>
      </c>
      <c r="D5" s="2" t="s">
        <v>70</v>
      </c>
    </row>
    <row r="6" customFormat="false" ht="15" hidden="false" customHeight="false" outlineLevel="0" collapsed="false">
      <c r="A6" s="3" t="s">
        <v>71</v>
      </c>
      <c r="B6" s="12"/>
      <c r="C6" s="3" t="s">
        <v>69</v>
      </c>
      <c r="D6" s="2" t="s">
        <v>72</v>
      </c>
    </row>
    <row r="7" customFormat="false" ht="15" hidden="false" customHeight="false" outlineLevel="0" collapsed="false">
      <c r="A7" s="3" t="s">
        <v>73</v>
      </c>
      <c r="B7" s="12" t="n">
        <v>100</v>
      </c>
      <c r="C7" s="3" t="s">
        <v>74</v>
      </c>
      <c r="D7" s="2" t="s">
        <v>75</v>
      </c>
    </row>
    <row r="8" customFormat="false" ht="15" hidden="false" customHeight="false" outlineLevel="0" collapsed="false">
      <c r="A8" s="3" t="s">
        <v>76</v>
      </c>
      <c r="B8" s="4"/>
      <c r="C8" s="3"/>
      <c r="D8" s="2" t="s">
        <v>77</v>
      </c>
    </row>
    <row r="10" customFormat="false" ht="15" hidden="false" customHeight="false" outlineLevel="0" collapsed="false">
      <c r="A10" s="13" t="s">
        <v>78</v>
      </c>
      <c r="B10" s="10" t="str">
        <f aca="false">IF(B6="","",IF(ABS(B6)&lt;=5,"PASS","FAIL"))</f>
        <v/>
      </c>
      <c r="D10" s="2" t="s">
        <v>79</v>
      </c>
    </row>
    <row r="12" customFormat="false" ht="15" hidden="false" customHeight="false" outlineLevel="0" collapsed="false">
      <c r="A12" s="2" t="s">
        <v>80</v>
      </c>
    </row>
    <row r="13" customFormat="false" ht="15" hidden="false" customHeight="false" outlineLevel="0" collapsed="false">
      <c r="A13" s="2" t="s">
        <v>81</v>
      </c>
    </row>
    <row r="14" customFormat="false" ht="15" hidden="false" customHeight="false" outlineLevel="0" collapsed="false">
      <c r="A14" s="2" t="s">
        <v>82</v>
      </c>
    </row>
    <row r="15" customFormat="false" ht="15" hidden="false" customHeight="false" outlineLevel="0" collapsed="false">
      <c r="A15" s="2" t="s">
        <v>83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84</v>
      </c>
    </row>
    <row r="18" customFormat="false" ht="15" hidden="false" customHeight="false" outlineLevel="0" collapsed="false">
      <c r="A18" s="2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1"/>
  </cols>
  <sheetData>
    <row r="1" customFormat="false" ht="16.15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4" customFormat="false" ht="27.75" hidden="false" customHeight="true" outlineLevel="0" collapsed="false">
      <c r="A4" s="6" t="s">
        <v>88</v>
      </c>
      <c r="B4" s="6" t="s">
        <v>89</v>
      </c>
      <c r="C4" s="6" t="s">
        <v>90</v>
      </c>
      <c r="D4" s="6" t="s">
        <v>91</v>
      </c>
      <c r="E4" s="6" t="s">
        <v>92</v>
      </c>
      <c r="F4" s="6" t="s">
        <v>93</v>
      </c>
      <c r="G4" s="6" t="s">
        <v>94</v>
      </c>
      <c r="H4" s="6" t="s">
        <v>32</v>
      </c>
    </row>
    <row r="5" customFormat="false" ht="15" hidden="false" customHeight="false" outlineLevel="0" collapsed="false">
      <c r="A5" s="7" t="n">
        <v>1</v>
      </c>
      <c r="B5" s="14" t="n">
        <v>0.5</v>
      </c>
      <c r="C5" s="15"/>
      <c r="D5" s="16" t="str">
        <f aca="false">IF(C5="","",C5/100*1000)</f>
        <v/>
      </c>
      <c r="E5" s="17" t="str">
        <f aca="false">IF(D5="","",(D5-B5)*1000)</f>
        <v/>
      </c>
      <c r="F5" s="18" t="str">
        <f aca="false">IF(OR(D5="",B5=0),"",(D5-B5)/B5*100)</f>
        <v/>
      </c>
      <c r="G5" s="19" t="n">
        <f aca="false">1/100*B5*1000+12</f>
        <v>17</v>
      </c>
      <c r="H5" s="10" t="str">
        <f aca="false">IF(E5="","",IF(ABS(E5)&lt;=G5,"PASS","FAIL"))</f>
        <v/>
      </c>
    </row>
    <row r="6" customFormat="false" ht="15" hidden="false" customHeight="false" outlineLevel="0" collapsed="false">
      <c r="A6" s="9" t="n">
        <v>2</v>
      </c>
      <c r="B6" s="14" t="n">
        <v>1</v>
      </c>
      <c r="C6" s="15"/>
      <c r="D6" s="20" t="str">
        <f aca="false">IF(C6="","",C6/100*1000)</f>
        <v/>
      </c>
      <c r="E6" s="21" t="str">
        <f aca="false">IF(D6="","",(D6-B6)*1000)</f>
        <v/>
      </c>
      <c r="F6" s="22" t="str">
        <f aca="false">IF(OR(D6="",B6=0),"",(D6-B6)/B6*100)</f>
        <v/>
      </c>
      <c r="G6" s="23" t="n">
        <f aca="false">1/100*B6*1000+12</f>
        <v>22</v>
      </c>
      <c r="H6" s="24" t="str">
        <f aca="false">IF(E6="","",IF(ABS(E6)&lt;=G6,"PASS","FAIL"))</f>
        <v/>
      </c>
    </row>
    <row r="7" customFormat="false" ht="15" hidden="false" customHeight="false" outlineLevel="0" collapsed="false">
      <c r="A7" s="7" t="n">
        <v>3</v>
      </c>
      <c r="B7" s="14" t="n">
        <v>2</v>
      </c>
      <c r="C7" s="15"/>
      <c r="D7" s="16" t="str">
        <f aca="false">IF(C7="","",C7/100*1000)</f>
        <v/>
      </c>
      <c r="E7" s="17" t="str">
        <f aca="false">IF(D7="","",(D7-B7)*1000)</f>
        <v/>
      </c>
      <c r="F7" s="18" t="str">
        <f aca="false">IF(OR(D7="",B7=0),"",(D7-B7)/B7*100)</f>
        <v/>
      </c>
      <c r="G7" s="19" t="n">
        <f aca="false">1/100*B7*1000+12</f>
        <v>32</v>
      </c>
      <c r="H7" s="10" t="str">
        <f aca="false">IF(E7="","",IF(ABS(E7)&lt;=G7,"PASS","FAIL"))</f>
        <v/>
      </c>
    </row>
    <row r="8" customFormat="false" ht="15" hidden="false" customHeight="false" outlineLevel="0" collapsed="false">
      <c r="A8" s="9" t="n">
        <v>4</v>
      </c>
      <c r="B8" s="14" t="n">
        <v>5</v>
      </c>
      <c r="C8" s="15"/>
      <c r="D8" s="20" t="str">
        <f aca="false">IF(C8="","",C8/100*1000)</f>
        <v/>
      </c>
      <c r="E8" s="21" t="str">
        <f aca="false">IF(D8="","",(D8-B8)*1000)</f>
        <v/>
      </c>
      <c r="F8" s="22" t="str">
        <f aca="false">IF(OR(D8="",B8=0),"",(D8-B8)/B8*100)</f>
        <v/>
      </c>
      <c r="G8" s="23" t="n">
        <f aca="false">1/100*B8*1000+12</f>
        <v>62</v>
      </c>
      <c r="H8" s="24" t="str">
        <f aca="false">IF(E8="","",IF(ABS(E8)&lt;=G8,"PASS","FAIL"))</f>
        <v/>
      </c>
    </row>
    <row r="9" customFormat="false" ht="15" hidden="false" customHeight="false" outlineLevel="0" collapsed="false">
      <c r="A9" s="7" t="n">
        <v>5</v>
      </c>
      <c r="B9" s="14" t="n">
        <v>7.5</v>
      </c>
      <c r="C9" s="15"/>
      <c r="D9" s="16" t="str">
        <f aca="false">IF(C9="","",C9/100*1000)</f>
        <v/>
      </c>
      <c r="E9" s="17" t="str">
        <f aca="false">IF(D9="","",(D9-B9)*1000)</f>
        <v/>
      </c>
      <c r="F9" s="18" t="str">
        <f aca="false">IF(OR(D9="",B9=0),"",(D9-B9)/B9*100)</f>
        <v/>
      </c>
      <c r="G9" s="19" t="n">
        <f aca="false">1/100*B9*1000+12</f>
        <v>87</v>
      </c>
      <c r="H9" s="10" t="str">
        <f aca="false">IF(E9="","",IF(ABS(E9)&lt;=G9,"PASS","FAIL"))</f>
        <v/>
      </c>
    </row>
    <row r="10" customFormat="false" ht="15" hidden="false" customHeight="false" outlineLevel="0" collapsed="false">
      <c r="A10" s="9" t="n">
        <v>6</v>
      </c>
      <c r="B10" s="14" t="n">
        <v>10</v>
      </c>
      <c r="C10" s="15"/>
      <c r="D10" s="20" t="str">
        <f aca="false">IF(C10="","",C10/100*1000)</f>
        <v/>
      </c>
      <c r="E10" s="21" t="str">
        <f aca="false">IF(D10="","",(D10-B10)*1000)</f>
        <v/>
      </c>
      <c r="F10" s="22" t="str">
        <f aca="false">IF(OR(D10="",B10=0),"",(D10-B10)/B10*100)</f>
        <v/>
      </c>
      <c r="G10" s="23" t="n">
        <f aca="false">1/100*B10*1000+12</f>
        <v>112</v>
      </c>
      <c r="H10" s="24" t="str">
        <f aca="false">IF(E10="","",IF(ABS(E10)&lt;=G10,"PASS","FAIL"))</f>
        <v/>
      </c>
    </row>
    <row r="12" customFormat="false" ht="15" hidden="false" customHeight="false" outlineLevel="0" collapsed="false">
      <c r="A12" s="13" t="s">
        <v>95</v>
      </c>
      <c r="H12" s="25" t="str">
        <f aca="false">IF(COUNTA(C5:C10)=0,"",IF(COUNTIF(H5:H10,"FAIL")&gt;0,"FAIL","PASS"))</f>
        <v/>
      </c>
    </row>
    <row r="14" customFormat="false" ht="15" hidden="false" customHeight="false" outlineLevel="0" collapsed="false">
      <c r="A14" s="5" t="s">
        <v>96</v>
      </c>
      <c r="B14" s="5"/>
      <c r="C14" s="5"/>
      <c r="D14" s="5"/>
      <c r="E14" s="5"/>
      <c r="F14" s="5"/>
      <c r="G14" s="5"/>
      <c r="H14" s="5"/>
    </row>
    <row r="15" customFormat="false" ht="15" hidden="false" customHeight="false" outlineLevel="0" collapsed="false">
      <c r="A15" s="3" t="s">
        <v>97</v>
      </c>
      <c r="C15" s="26" t="str">
        <f aca="false">IF(COUNTA(C5:C10)=0,"",INDEX(B5:B10,MATCH(MAX(B5:B10),B5:B10,0))/INDEX(D5:D10,MATCH(MAX(B5:B10),B5:B10,0)))</f>
        <v/>
      </c>
    </row>
    <row r="16" customFormat="false" ht="15" hidden="false" customHeight="false" outlineLevel="0" collapsed="false">
      <c r="A16" s="2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1"/>
  </cols>
  <sheetData>
    <row r="1" customFormat="false" ht="16.15" hidden="false" customHeight="false" outlineLevel="0" collapsed="false">
      <c r="A1" s="1" t="s">
        <v>99</v>
      </c>
    </row>
    <row r="2" customFormat="false" ht="15" hidden="false" customHeight="false" outlineLevel="0" collapsed="false">
      <c r="A2" s="2" t="s">
        <v>100</v>
      </c>
    </row>
    <row r="4" customFormat="false" ht="27.75" hidden="false" customHeight="true" outlineLevel="0" collapsed="false">
      <c r="A4" s="6" t="s">
        <v>88</v>
      </c>
      <c r="B4" s="6" t="s">
        <v>89</v>
      </c>
      <c r="C4" s="6" t="s">
        <v>90</v>
      </c>
      <c r="D4" s="6" t="s">
        <v>91</v>
      </c>
      <c r="E4" s="6" t="s">
        <v>92</v>
      </c>
      <c r="F4" s="6" t="s">
        <v>93</v>
      </c>
      <c r="G4" s="6" t="s">
        <v>94</v>
      </c>
      <c r="H4" s="6" t="s">
        <v>32</v>
      </c>
    </row>
    <row r="5" customFormat="false" ht="15" hidden="false" customHeight="false" outlineLevel="0" collapsed="false">
      <c r="A5" s="7" t="n">
        <v>1</v>
      </c>
      <c r="B5" s="14" t="n">
        <v>0.25</v>
      </c>
      <c r="C5" s="15"/>
      <c r="D5" s="16" t="str">
        <f aca="false">IF(C5="","",C5/1000*1000)</f>
        <v/>
      </c>
      <c r="E5" s="17" t="str">
        <f aca="false">IF(D5="","",(D5-B5)*1000)</f>
        <v/>
      </c>
      <c r="F5" s="18" t="str">
        <f aca="false">IF(OR(D5="",B5=0),"",(D5-B5)/B5*100)</f>
        <v/>
      </c>
      <c r="G5" s="19" t="n">
        <f aca="false">0.9/100*B5*1000+8</f>
        <v>10.25</v>
      </c>
      <c r="H5" s="10" t="str">
        <f aca="false">IF(E5="","",IF(ABS(E5)&lt;=G5,"PASS","FAIL"))</f>
        <v/>
      </c>
    </row>
    <row r="6" customFormat="false" ht="15" hidden="false" customHeight="false" outlineLevel="0" collapsed="false">
      <c r="A6" s="9" t="n">
        <v>2</v>
      </c>
      <c r="B6" s="14" t="n">
        <v>0.5</v>
      </c>
      <c r="C6" s="15"/>
      <c r="D6" s="20" t="str">
        <f aca="false">IF(C6="","",C6/1000*1000)</f>
        <v/>
      </c>
      <c r="E6" s="21" t="str">
        <f aca="false">IF(D6="","",(D6-B6)*1000)</f>
        <v/>
      </c>
      <c r="F6" s="22" t="str">
        <f aca="false">IF(OR(D6="",B6=0),"",(D6-B6)/B6*100)</f>
        <v/>
      </c>
      <c r="G6" s="23" t="n">
        <f aca="false">0.9/100*B6*1000+8</f>
        <v>12.5</v>
      </c>
      <c r="H6" s="24" t="str">
        <f aca="false">IF(E6="","",IF(ABS(E6)&lt;=G6,"PASS","FAIL"))</f>
        <v/>
      </c>
    </row>
    <row r="7" customFormat="false" ht="15" hidden="false" customHeight="false" outlineLevel="0" collapsed="false">
      <c r="A7" s="7" t="n">
        <v>3</v>
      </c>
      <c r="B7" s="14" t="n">
        <v>1</v>
      </c>
      <c r="C7" s="15"/>
      <c r="D7" s="16" t="str">
        <f aca="false">IF(C7="","",C7/1000*1000)</f>
        <v/>
      </c>
      <c r="E7" s="17" t="str">
        <f aca="false">IF(D7="","",(D7-B7)*1000)</f>
        <v/>
      </c>
      <c r="F7" s="18" t="str">
        <f aca="false">IF(OR(D7="",B7=0),"",(D7-B7)/B7*100)</f>
        <v/>
      </c>
      <c r="G7" s="19" t="n">
        <f aca="false">0.9/100*B7*1000+8</f>
        <v>17</v>
      </c>
      <c r="H7" s="10" t="str">
        <f aca="false">IF(E7="","",IF(ABS(E7)&lt;=G7,"PASS","FAIL"))</f>
        <v/>
      </c>
    </row>
    <row r="8" customFormat="false" ht="15" hidden="false" customHeight="false" outlineLevel="0" collapsed="false">
      <c r="A8" s="9" t="n">
        <v>4</v>
      </c>
      <c r="B8" s="14" t="n">
        <v>2</v>
      </c>
      <c r="C8" s="15"/>
      <c r="D8" s="20" t="str">
        <f aca="false">IF(C8="","",C8/1000*1000)</f>
        <v/>
      </c>
      <c r="E8" s="21" t="str">
        <f aca="false">IF(D8="","",(D8-B8)*1000)</f>
        <v/>
      </c>
      <c r="F8" s="22" t="str">
        <f aca="false">IF(OR(D8="",B8=0),"",(D8-B8)/B8*100)</f>
        <v/>
      </c>
      <c r="G8" s="23" t="n">
        <f aca="false">0.9/100*B8*1000+8</f>
        <v>26</v>
      </c>
      <c r="H8" s="24" t="str">
        <f aca="false">IF(E8="","",IF(ABS(E8)&lt;=G8,"PASS","FAIL"))</f>
        <v/>
      </c>
    </row>
    <row r="9" customFormat="false" ht="15" hidden="false" customHeight="false" outlineLevel="0" collapsed="false">
      <c r="A9" s="7" t="n">
        <v>5</v>
      </c>
      <c r="B9" s="14" t="n">
        <v>3.5</v>
      </c>
      <c r="C9" s="15"/>
      <c r="D9" s="16" t="str">
        <f aca="false">IF(C9="","",C9/1000*1000)</f>
        <v/>
      </c>
      <c r="E9" s="17" t="str">
        <f aca="false">IF(D9="","",(D9-B9)*1000)</f>
        <v/>
      </c>
      <c r="F9" s="18" t="str">
        <f aca="false">IF(OR(D9="",B9=0),"",(D9-B9)/B9*100)</f>
        <v/>
      </c>
      <c r="G9" s="19" t="n">
        <f aca="false">0.9/100*B9*1000+8</f>
        <v>39.5</v>
      </c>
      <c r="H9" s="10" t="str">
        <f aca="false">IF(E9="","",IF(ABS(E9)&lt;=G9,"PASS","FAIL"))</f>
        <v/>
      </c>
    </row>
    <row r="10" customFormat="false" ht="15" hidden="false" customHeight="false" outlineLevel="0" collapsed="false">
      <c r="A10" s="9" t="n">
        <v>6</v>
      </c>
      <c r="B10" s="14" t="n">
        <v>5</v>
      </c>
      <c r="C10" s="15"/>
      <c r="D10" s="20" t="str">
        <f aca="false">IF(C10="","",C10/1000*1000)</f>
        <v/>
      </c>
      <c r="E10" s="21" t="str">
        <f aca="false">IF(D10="","",(D10-B10)*1000)</f>
        <v/>
      </c>
      <c r="F10" s="22" t="str">
        <f aca="false">IF(OR(D10="",B10=0),"",(D10-B10)/B10*100)</f>
        <v/>
      </c>
      <c r="G10" s="23" t="n">
        <f aca="false">0.9/100*B10*1000+8</f>
        <v>53</v>
      </c>
      <c r="H10" s="24" t="str">
        <f aca="false">IF(E10="","",IF(ABS(E10)&lt;=G10,"PASS","FAIL"))</f>
        <v/>
      </c>
    </row>
    <row r="12" customFormat="false" ht="15" hidden="false" customHeight="false" outlineLevel="0" collapsed="false">
      <c r="A12" s="13" t="s">
        <v>95</v>
      </c>
      <c r="H12" s="25" t="str">
        <f aca="false">IF(COUNTA(C5:C10)=0,"",IF(COUNTIF(H5:H10,"FAIL")&gt;0,"FAIL","PASS"))</f>
        <v/>
      </c>
    </row>
    <row r="14" customFormat="false" ht="15" hidden="false" customHeight="false" outlineLevel="0" collapsed="false">
      <c r="A14" s="5" t="s">
        <v>96</v>
      </c>
      <c r="B14" s="5"/>
      <c r="C14" s="5"/>
      <c r="D14" s="5"/>
      <c r="E14" s="5"/>
      <c r="F14" s="5"/>
      <c r="G14" s="5"/>
      <c r="H14" s="5"/>
    </row>
    <row r="15" customFormat="false" ht="15" hidden="false" customHeight="false" outlineLevel="0" collapsed="false">
      <c r="A15" s="3" t="s">
        <v>97</v>
      </c>
      <c r="C15" s="26" t="str">
        <f aca="false">IF(COUNTA(C5:C10)=0,"",INDEX(B5:B10,MATCH(MAX(B5:B10),B5:B10,0))/INDEX(D5:D10,MATCH(MAX(B5:B10),B5:B10,0)))</f>
        <v/>
      </c>
    </row>
    <row r="16" customFormat="false" ht="15" hidden="false" customHeight="false" outlineLevel="0" collapsed="false">
      <c r="A16" s="2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66"/>
  </cols>
  <sheetData>
    <row r="1" customFormat="false" ht="16.1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4" customFormat="false" ht="15" hidden="false" customHeight="false" outlineLevel="0" collapsed="false">
      <c r="A4" s="5" t="s">
        <v>103</v>
      </c>
      <c r="B4" s="5"/>
      <c r="C4" s="5"/>
      <c r="D4" s="5"/>
    </row>
    <row r="5" customFormat="false" ht="15" hidden="false" customHeight="false" outlineLevel="0" collapsed="false">
      <c r="A5" s="3" t="s">
        <v>104</v>
      </c>
      <c r="B5" s="12"/>
      <c r="C5" s="3" t="s">
        <v>105</v>
      </c>
      <c r="D5" s="2" t="s">
        <v>106</v>
      </c>
    </row>
    <row r="6" customFormat="false" ht="15" hidden="false" customHeight="false" outlineLevel="0" collapsed="false">
      <c r="A6" s="3" t="s">
        <v>107</v>
      </c>
      <c r="B6" s="12"/>
      <c r="C6" s="3" t="s">
        <v>105</v>
      </c>
      <c r="D6" s="2" t="s">
        <v>108</v>
      </c>
    </row>
    <row r="8" customFormat="false" ht="15" hidden="false" customHeight="false" outlineLevel="0" collapsed="false">
      <c r="A8" s="5" t="s">
        <v>109</v>
      </c>
      <c r="B8" s="5"/>
      <c r="C8" s="5"/>
      <c r="D8" s="5"/>
    </row>
    <row r="9" customFormat="false" ht="15" hidden="false" customHeight="false" outlineLevel="0" collapsed="false">
      <c r="A9" s="3" t="s">
        <v>110</v>
      </c>
      <c r="B9" s="12"/>
      <c r="C9" s="3" t="s">
        <v>69</v>
      </c>
      <c r="D9" s="2" t="s">
        <v>111</v>
      </c>
    </row>
    <row r="10" customFormat="false" ht="15" hidden="false" customHeight="false" outlineLevel="0" collapsed="false">
      <c r="A10" s="3" t="s">
        <v>112</v>
      </c>
      <c r="B10" s="12"/>
      <c r="C10" s="3" t="s">
        <v>69</v>
      </c>
      <c r="D10" s="2" t="s">
        <v>113</v>
      </c>
    </row>
    <row r="11" customFormat="false" ht="15" hidden="false" customHeight="false" outlineLevel="0" collapsed="false">
      <c r="A11" s="3" t="s">
        <v>114</v>
      </c>
      <c r="B11" s="12"/>
      <c r="C11" s="3" t="s">
        <v>69</v>
      </c>
      <c r="D11" s="2"/>
    </row>
    <row r="12" customFormat="false" ht="15" hidden="false" customHeight="false" outlineLevel="0" collapsed="false">
      <c r="A12" s="3" t="s">
        <v>115</v>
      </c>
      <c r="B12" s="12"/>
      <c r="C12" s="3" t="s">
        <v>69</v>
      </c>
      <c r="D12" s="2" t="s">
        <v>116</v>
      </c>
    </row>
    <row r="13" customFormat="false" ht="15" hidden="false" customHeight="false" outlineLevel="0" collapsed="false">
      <c r="A13" s="3" t="s">
        <v>117</v>
      </c>
      <c r="B13" s="12"/>
      <c r="C13" s="3" t="s">
        <v>69</v>
      </c>
      <c r="D13" s="2" t="s">
        <v>118</v>
      </c>
    </row>
    <row r="15" customFormat="false" ht="15" hidden="false" customHeight="false" outlineLevel="0" collapsed="false">
      <c r="A15" s="5" t="s">
        <v>119</v>
      </c>
      <c r="B15" s="5"/>
      <c r="C15" s="5"/>
      <c r="D15" s="5"/>
    </row>
    <row r="16" customFormat="false" ht="15" hidden="false" customHeight="false" outlineLevel="0" collapsed="false">
      <c r="A16" s="3" t="s">
        <v>120</v>
      </c>
      <c r="B16" s="12"/>
      <c r="C16" s="3" t="s">
        <v>66</v>
      </c>
      <c r="D16" s="2" t="s">
        <v>121</v>
      </c>
    </row>
    <row r="17" customFormat="false" ht="15" hidden="false" customHeight="false" outlineLevel="0" collapsed="false">
      <c r="A17" s="3" t="s">
        <v>122</v>
      </c>
      <c r="B17" s="12"/>
      <c r="C17" s="3" t="s">
        <v>66</v>
      </c>
      <c r="D17" s="2" t="s">
        <v>123</v>
      </c>
    </row>
    <row r="18" customFormat="false" ht="15" hidden="false" customHeight="false" outlineLevel="0" collapsed="false">
      <c r="A18" s="3" t="s">
        <v>124</v>
      </c>
      <c r="B18" s="12"/>
      <c r="C18" s="3" t="s">
        <v>66</v>
      </c>
      <c r="D18" s="2"/>
    </row>
    <row r="20" customFormat="false" ht="15" hidden="false" customHeight="false" outlineLevel="0" collapsed="false">
      <c r="A20" s="5" t="s">
        <v>125</v>
      </c>
      <c r="B20" s="5"/>
      <c r="C20" s="5"/>
      <c r="D20" s="5"/>
    </row>
    <row r="21" customFormat="false" ht="15" hidden="false" customHeight="false" outlineLevel="0" collapsed="false">
      <c r="A21" s="3" t="s">
        <v>126</v>
      </c>
      <c r="B21" s="12"/>
      <c r="C21" s="3" t="s">
        <v>127</v>
      </c>
      <c r="D21" s="2"/>
    </row>
    <row r="22" customFormat="false" ht="15" hidden="false" customHeight="false" outlineLevel="0" collapsed="false">
      <c r="A22" s="3" t="s">
        <v>128</v>
      </c>
      <c r="B22" s="12"/>
      <c r="C22" s="3" t="s">
        <v>127</v>
      </c>
      <c r="D22" s="2" t="s">
        <v>129</v>
      </c>
    </row>
    <row r="23" customFormat="false" ht="15" hidden="false" customHeight="false" outlineLevel="0" collapsed="false">
      <c r="A23" s="3" t="s">
        <v>130</v>
      </c>
      <c r="B23" s="12"/>
      <c r="C23" s="3" t="s">
        <v>127</v>
      </c>
      <c r="D23" s="2" t="s">
        <v>131</v>
      </c>
    </row>
    <row r="25" customFormat="false" ht="15" hidden="false" customHeight="false" outlineLevel="0" collapsed="false">
      <c r="A25" s="5" t="s">
        <v>132</v>
      </c>
      <c r="B25" s="5"/>
      <c r="C25" s="5"/>
      <c r="D25" s="5"/>
    </row>
    <row r="26" customFormat="false" ht="15" hidden="false" customHeight="false" outlineLevel="0" collapsed="false">
      <c r="A26" s="3" t="s">
        <v>133</v>
      </c>
      <c r="B26" s="12"/>
      <c r="C26" s="3" t="s">
        <v>134</v>
      </c>
      <c r="D26" s="2" t="s">
        <v>135</v>
      </c>
    </row>
    <row r="27" customFormat="false" ht="15" hidden="false" customHeight="false" outlineLevel="0" collapsed="false">
      <c r="A27" s="3" t="s">
        <v>136</v>
      </c>
      <c r="B27" s="12"/>
      <c r="C27" s="3" t="s">
        <v>134</v>
      </c>
      <c r="D27" s="2"/>
    </row>
    <row r="28" customFormat="false" ht="15" hidden="false" customHeight="false" outlineLevel="0" collapsed="false">
      <c r="A28" s="3" t="s">
        <v>137</v>
      </c>
      <c r="B28" s="12"/>
      <c r="C28" s="3"/>
      <c r="D28" s="2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66"/>
  </cols>
  <sheetData>
    <row r="1" customFormat="false" ht="16.15" hidden="false" customHeight="fals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</row>
    <row r="4" customFormat="false" ht="15" hidden="false" customHeight="false" outlineLevel="0" collapsed="false">
      <c r="A4" s="3" t="s">
        <v>141</v>
      </c>
      <c r="B4" s="27" t="n">
        <f aca="false">'1 Board'!B4</f>
        <v>0</v>
      </c>
    </row>
    <row r="5" customFormat="false" ht="15" hidden="false" customHeight="false" outlineLevel="0" collapsed="false">
      <c r="A5" s="3" t="s">
        <v>142</v>
      </c>
      <c r="B5" s="27" t="n">
        <f aca="false">'1 Board'!B5</f>
        <v>0</v>
      </c>
    </row>
    <row r="6" customFormat="false" ht="15" hidden="false" customHeight="false" outlineLevel="0" collapsed="false">
      <c r="A6" s="3" t="s">
        <v>143</v>
      </c>
      <c r="B6" s="27" t="n">
        <f aca="false">'1 Board'!B10</f>
        <v>0</v>
      </c>
    </row>
    <row r="8" customFormat="false" ht="15" hidden="false" customHeight="false" outlineLevel="0" collapsed="false">
      <c r="A8" s="3" t="s">
        <v>144</v>
      </c>
      <c r="B8" s="27" t="str">
        <f aca="false">IF(COUNTIF('2 Bring-up'!E5:E22,"FAIL")&gt;0,"FAIL",IF(COUNTIF('2 Bring-up'!E5:E22,"PASS")=0,"not done","PASS"))</f>
        <v>not done</v>
      </c>
    </row>
    <row r="9" customFormat="false" ht="15" hidden="false" customHeight="false" outlineLevel="0" collapsed="false">
      <c r="A9" s="3" t="s">
        <v>145</v>
      </c>
      <c r="B9" s="28" t="n">
        <f aca="false">'3 Zero trim'!B6</f>
        <v>0</v>
      </c>
    </row>
    <row r="10" customFormat="false" ht="15" hidden="false" customHeight="false" outlineLevel="0" collapsed="false">
      <c r="A10" s="3" t="s">
        <v>146</v>
      </c>
      <c r="B10" s="27" t="str">
        <f aca="false">'3 Zero trim'!B10</f>
        <v/>
      </c>
    </row>
    <row r="11" customFormat="false" ht="15" hidden="false" customHeight="false" outlineLevel="0" collapsed="false">
      <c r="A11" s="3" t="s">
        <v>147</v>
      </c>
      <c r="B11" s="27" t="str">
        <f aca="false">'4 Accuracy 10A'!H12</f>
        <v/>
      </c>
    </row>
    <row r="12" customFormat="false" ht="15" hidden="false" customHeight="false" outlineLevel="0" collapsed="false">
      <c r="A12" s="3" t="s">
        <v>148</v>
      </c>
      <c r="B12" s="27" t="str">
        <f aca="false">'5 Accuracy 5A'!H12</f>
        <v/>
      </c>
    </row>
    <row r="14" customFormat="false" ht="15" hidden="false" customHeight="false" outlineLevel="0" collapsed="false">
      <c r="A14" s="3" t="s">
        <v>149</v>
      </c>
      <c r="B14" s="27" t="str">
        <f aca="false">'4 Accuracy 10A'!C15</f>
        <v/>
      </c>
    </row>
    <row r="15" customFormat="false" ht="15" hidden="false" customHeight="false" outlineLevel="0" collapsed="false">
      <c r="A15" s="3" t="s">
        <v>150</v>
      </c>
      <c r="B15" s="27" t="str">
        <f aca="false">'5 Accuracy 5A'!C15</f>
        <v/>
      </c>
    </row>
    <row r="17" customFormat="false" ht="15" hidden="false" customHeight="false" outlineLevel="0" collapsed="false">
      <c r="A17" s="5" t="s">
        <v>151</v>
      </c>
      <c r="B17" s="5"/>
      <c r="C17" s="5"/>
    </row>
    <row r="18" customFormat="false" ht="15" hidden="false" customHeight="false" outlineLevel="0" collapsed="false">
      <c r="A18" s="13" t="s">
        <v>152</v>
      </c>
      <c r="B18" s="25" t="str">
        <f aca="false">IF(OR(B8="FAIL",B9="FAIL",B11="FAIL",B12="FAIL"),"FAIL",IF(OR(B8="not done",B11="",B12=""),"INCOMPLETE","PASS"))</f>
        <v>INCOMPLETE</v>
      </c>
    </row>
    <row r="20" customFormat="false" ht="15" hidden="false" customHeight="false" outlineLevel="0" collapsed="false">
      <c r="A20" s="3" t="s">
        <v>153</v>
      </c>
      <c r="B20" s="29"/>
    </row>
    <row r="21" customFormat="false" ht="15" hidden="false" customHeight="false" outlineLevel="0" collapsed="false">
      <c r="B21" s="29"/>
    </row>
    <row r="22" customFormat="false" ht="15" hidden="false" customHeight="false" outlineLevel="0" collapsed="false">
      <c r="B22" s="29"/>
    </row>
    <row r="23" customFormat="false" ht="15" hidden="false" customHeight="false" outlineLevel="0" collapsed="false">
      <c r="B23" s="29"/>
    </row>
    <row r="24" customFormat="false" ht="15" hidden="false" customHeight="false" outlineLevel="0" collapsed="false">
      <c r="A24" s="3" t="s">
        <v>6</v>
      </c>
      <c r="B24" s="29"/>
    </row>
    <row r="25" customFormat="false" ht="15" hidden="false" customHeight="false" outlineLevel="0" collapsed="false">
      <c r="A25" s="3" t="s">
        <v>142</v>
      </c>
      <c r="B25" s="29"/>
    </row>
    <row r="26" customFormat="false" ht="15" hidden="false" customHeight="false" outlineLevel="0" collapsed="false">
      <c r="A26" s="3" t="s">
        <v>154</v>
      </c>
      <c r="B26" s="29"/>
    </row>
    <row r="28" customFormat="false" ht="15" hidden="false" customHeight="false" outlineLevel="0" collapsed="false">
      <c r="A28" s="2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2026-08-21T01:59:47Z</dcterms:created>
  <dc:creator>openpyxl</dc:creator>
  <dc:description/>
  <dc:language>en-US</dc:language>
  <cp:lastModifiedBy/>
  <dcterms:modified xsi:type="dcterms:W3CDTF">2026-08-21T01:59:47Z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