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c66af001820e5a/ProjectGitReleases/Melanson-Tech-Isolated-Shunt-Amplifier/Revision 2/TestData/"/>
    </mc:Choice>
  </mc:AlternateContent>
  <xr:revisionPtr revIDLastSave="7" documentId="8_{CC31BB31-5F0B-4597-B3D8-E4219347056E}" xr6:coauthVersionLast="47" xr6:coauthVersionMax="47" xr10:uidLastSave="{74E3539A-48ED-4244-9639-0BB43DA4A029}"/>
  <bookViews>
    <workbookView xWindow="-120" yWindow="-120" windowWidth="29040" windowHeight="15720" xr2:uid="{BC7D77A8-E832-4A3D-A2AB-66B5DB9BF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3" i="1"/>
  <c r="H12" i="1"/>
  <c r="H11" i="1"/>
  <c r="H10" i="1"/>
  <c r="H9" i="1"/>
  <c r="H8" i="1"/>
  <c r="H7" i="1"/>
  <c r="H6" i="1"/>
  <c r="H5" i="1"/>
  <c r="H4" i="1"/>
  <c r="D14" i="1"/>
  <c r="D13" i="1"/>
  <c r="D12" i="1"/>
  <c r="D11" i="1"/>
  <c r="D10" i="1"/>
  <c r="D9" i="1"/>
  <c r="D8" i="1"/>
  <c r="D7" i="1"/>
  <c r="D6" i="1"/>
  <c r="D5" i="1"/>
  <c r="D4" i="1"/>
  <c r="I14" i="1"/>
  <c r="I13" i="1"/>
  <c r="I12" i="1"/>
  <c r="I11" i="1"/>
  <c r="I10" i="1"/>
  <c r="I9" i="1"/>
  <c r="I8" i="1"/>
  <c r="I7" i="1"/>
  <c r="I6" i="1"/>
  <c r="I5" i="1"/>
  <c r="I4" i="1"/>
  <c r="E14" i="1"/>
  <c r="E13" i="1"/>
  <c r="E12" i="1"/>
  <c r="E11" i="1"/>
  <c r="E10" i="1"/>
  <c r="E9" i="1"/>
  <c r="E8" i="1"/>
  <c r="E7" i="1"/>
  <c r="E6" i="1"/>
  <c r="E5" i="1"/>
  <c r="E4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<sst xmlns="http://schemas.openxmlformats.org/spreadsheetml/2006/main" count="9" uniqueCount="9">
  <si>
    <t>Imeter</t>
  </si>
  <si>
    <t>10Ω Input R</t>
  </si>
  <si>
    <t>Iprobex100</t>
  </si>
  <si>
    <t>Iprobex10</t>
  </si>
  <si>
    <t>Iprobex10(Scaled)</t>
  </si>
  <si>
    <t>x100Error (%)</t>
  </si>
  <si>
    <t>Error (x10) (%)</t>
  </si>
  <si>
    <t>Error Diff</t>
  </si>
  <si>
    <t>Error Diff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</si>
</sst>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/>
              <a:t>Gain Error</a:t>
            </a:r>
          </a:p>
        </c:rich>
      </c:tx>
      <c:layout>
        <c:manualLayout>
          <c:xMode val="edge"/>
          <c:yMode val="edge"/>
          <c:x val="0.46205976719277803"/>
          <c:y val="2.266295393278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Imeter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Sheet1!$B$6:$B$14</c:f>
              <c:numCache>
                <c:formatCode>General</c:formatCode>
                <c:ptCount val="9"/>
                <c:pt idx="0">
                  <c:v>10.46</c:v>
                </c:pt>
                <c:pt idx="1">
                  <c:v>20.65</c:v>
                </c:pt>
                <c:pt idx="2">
                  <c:v>50.47</c:v>
                </c:pt>
                <c:pt idx="3">
                  <c:v>99.8</c:v>
                </c:pt>
                <c:pt idx="4">
                  <c:v>202</c:v>
                </c:pt>
                <c:pt idx="5">
                  <c:v>508</c:v>
                </c:pt>
                <c:pt idx="6">
                  <c:v>1036</c:v>
                </c:pt>
                <c:pt idx="7">
                  <c:v>2010</c:v>
                </c:pt>
                <c:pt idx="8">
                  <c:v>3054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E3-47A1-A4AC-CE3AD7FA3901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Iprobex100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Sheet1!$C$6:$C$14</c:f>
              <c:numCache>
                <c:formatCode>General</c:formatCode>
                <c:ptCount val="9"/>
                <c:pt idx="0">
                  <c:v>10</c:v>
                </c:pt>
                <c:pt idx="1">
                  <c:v>20.41</c:v>
                </c:pt>
                <c:pt idx="2">
                  <c:v>50.1</c:v>
                </c:pt>
                <c:pt idx="3">
                  <c:v>99.04</c:v>
                </c:pt>
                <c:pt idx="4">
                  <c:v>200.67</c:v>
                </c:pt>
                <c:pt idx="5">
                  <c:v>503.3</c:v>
                </c:pt>
                <c:pt idx="6">
                  <c:v>1028.5999999999999</c:v>
                </c:pt>
                <c:pt idx="7">
                  <c:v>2006</c:v>
                </c:pt>
                <c:pt idx="8">
                  <c:v>3040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E3-47A1-A4AC-CE3AD7FA3901}"/>
            </c:ext>
          </c:extLst>
        </c:ser>
        <c:ser>
          <c:idx val="2"/>
          <c:order val="2"/>
          <c:tx>
            <c:strRef>
              <c:f>Sheet1!$G$3</c:f>
              <c:strCache>
                <c:ptCount val="1"/>
                <c:pt idx="0">
                  <c:v>Iprobex10(Scaled)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Sheet1!$G$6:$G$14</c:f>
              <c:numCache>
                <c:formatCode>General</c:formatCode>
                <c:ptCount val="9"/>
                <c:pt idx="0">
                  <c:v>9.6</c:v>
                </c:pt>
                <c:pt idx="1">
                  <c:v>20.099999999999998</c:v>
                </c:pt>
                <c:pt idx="2">
                  <c:v>50</c:v>
                </c:pt>
                <c:pt idx="3">
                  <c:v>99.2</c:v>
                </c:pt>
                <c:pt idx="4">
                  <c:v>201.9</c:v>
                </c:pt>
                <c:pt idx="5">
                  <c:v>507.1</c:v>
                </c:pt>
                <c:pt idx="6">
                  <c:v>1037</c:v>
                </c:pt>
                <c:pt idx="7">
                  <c:v>2014</c:v>
                </c:pt>
                <c:pt idx="8">
                  <c:v>3050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E3-47A1-A4AC-CE3AD7FA3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5262575"/>
        <c:axId val="1585261615"/>
      </c:lineChart>
      <c:catAx>
        <c:axId val="158526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261615"/>
        <c:crosses val="autoZero"/>
        <c:auto val="1"/>
        <c:lblAlgn val="ctr"/>
        <c:lblOffset val="100"/>
        <c:noMultiLvlLbl val="0"/>
      </c:catAx>
      <c:valAx>
        <c:axId val="1585261615"/>
        <c:scaling>
          <c:logBase val="10"/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26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200026</xdr:colOff>
      <xdr:row>1</xdr:row>
      <xdr:rowOff>171451</xdr:rowOff>
    </xdr:from>
    <xdr:to>
      <xdr:col>18</xdr:col>
      <xdr:colOff>190500</xdr:colOff>
      <xdr:row>22</xdr:row>
      <xdr:rowOff>133351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3E28F6-9118-A147-E721-A5973BEAA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FB07-6F50-47AA-BD3B-60AE747A0902}">
  <dimension ref="B2:I17"/>
  <sheetViews>
    <sheetView tabSelected="1" topLeftCell="C1" workbookViewId="0">
      <selection activeCell="F20" sqref="F20"/>
    </sheetView>
  </sheetViews>
  <sheetFormatPr defaultRowHeight="15" x14ac:dyDescent="0.25"/>
  <cols>
    <col min="2" max="2" width="6.5703125" bestFit="1" customWidth="1"/>
    <col min="3" max="3" width="10.5703125" bestFit="1" customWidth="1"/>
    <col min="4" max="4" width="12.5703125" bestFit="1" customWidth="1"/>
    <col min="5" max="5" width="13.5703125" bestFit="1" customWidth="1"/>
    <col min="6" max="6" width="9.5703125" bestFit="1" customWidth="1"/>
    <col min="7" max="7" width="17" bestFit="1" customWidth="1"/>
    <col min="8" max="8" width="13.5703125" bestFit="1" customWidth="1"/>
    <col min="9" max="9" width="8.7109375" bestFit="1" customWidth="1"/>
  </cols>
  <sheetData>
    <row r="2" spans="2:9" x14ac:dyDescent="0.25">
      <c r="B2" s="1" t="s">
        <v>1</v>
      </c>
      <c r="C2" s="1"/>
      <c r="D2" s="1"/>
      <c r="E2" s="1"/>
      <c r="F2" s="1"/>
      <c r="G2" s="1"/>
      <c r="H2" s="1"/>
      <c r="I2" s="1"/>
    </row>
    <row r="3" spans="2:9" x14ac:dyDescent="0.25">
      <c r="B3" t="s">
        <v>0</v>
      </c>
      <c r="C3" t="s">
        <v>2</v>
      </c>
      <c r="D3" t="s">
        <v>5</v>
      </c>
      <c r="E3" t="s">
        <v>8</v>
      </c>
      <c r="F3" t="s">
        <v>3</v>
      </c>
      <c r="G3" t="s">
        <v>4</v>
      </c>
      <c r="H3" t="s">
        <v>6</v>
      </c>
      <c r="I3" t="s">
        <v>7</v>
      </c>
    </row>
    <row r="4" spans="2:9" x14ac:dyDescent="0.25">
      <c r="B4">
        <v>2.73</v>
      </c>
      <c r="C4">
        <v>2.2000000000000002</v>
      </c>
      <c r="D4" s="2">
        <f>((C4-B4)/B4)</f>
        <v>-0.19413919413919406</v>
      </c>
      <c r="E4">
        <f>C4-B4</f>
        <v>-0.5299999999999998</v>
      </c>
      <c r="F4">
        <v>0.185</v>
      </c>
      <c r="G4">
        <f>F4*10</f>
        <v>1.85</v>
      </c>
      <c r="H4" s="2">
        <f>((G4-B4)/B4)</f>
        <v>-0.32234432234432231</v>
      </c>
      <c r="I4">
        <f>G4-B4</f>
        <v>-0.87999999999999989</v>
      </c>
    </row>
    <row r="5" spans="2:9" x14ac:dyDescent="0.25">
      <c r="B5">
        <v>5.15</v>
      </c>
      <c r="C5">
        <v>5.63</v>
      </c>
      <c r="D5" s="2">
        <f t="shared" ref="D5:D14" si="0">((C5-B5)/B5)</f>
        <v>9.3203883495145537E-2</v>
      </c>
      <c r="E5">
        <f t="shared" ref="E5:E14" si="1">C5-B5</f>
        <v>0.47999999999999954</v>
      </c>
      <c r="F5">
        <v>0.42499999999999999</v>
      </c>
      <c r="G5">
        <f>F5*10</f>
        <v>4.25</v>
      </c>
      <c r="H5" s="2">
        <f t="shared" ref="H5:H14" si="2">((G5-B5)/B5)</f>
        <v>-0.17475728155339812</v>
      </c>
      <c r="I5">
        <f t="shared" ref="I5:I14" si="3">G5-B5</f>
        <v>-0.90000000000000036</v>
      </c>
    </row>
    <row r="6" spans="2:9" x14ac:dyDescent="0.25">
      <c r="B6">
        <v>10.46</v>
      </c>
      <c r="C6">
        <v>10</v>
      </c>
      <c r="D6" s="2">
        <f t="shared" si="0"/>
        <v>-4.3977055449330865E-2</v>
      </c>
      <c r="E6">
        <f t="shared" si="1"/>
        <v>-0.46000000000000085</v>
      </c>
      <c r="F6">
        <v>0.96</v>
      </c>
      <c r="G6">
        <f>F6*10</f>
        <v>9.6</v>
      </c>
      <c r="H6" s="2">
        <f t="shared" si="2"/>
        <v>-8.2217973231357655E-2</v>
      </c>
      <c r="I6">
        <f t="shared" si="3"/>
        <v>-0.86000000000000121</v>
      </c>
    </row>
    <row r="7" spans="2:9" x14ac:dyDescent="0.25">
      <c r="B7">
        <v>20.65</v>
      </c>
      <c r="C7">
        <v>20.41</v>
      </c>
      <c r="D7" s="2">
        <f t="shared" si="0"/>
        <v>-1.1622276029055615E-2</v>
      </c>
      <c r="E7">
        <f t="shared" si="1"/>
        <v>-0.23999999999999844</v>
      </c>
      <c r="F7">
        <v>2.0099999999999998</v>
      </c>
      <c r="G7">
        <f>F7*10</f>
        <v>20.099999999999998</v>
      </c>
      <c r="H7" s="2">
        <f t="shared" si="2"/>
        <v>-2.6634382566585992E-2</v>
      </c>
      <c r="I7">
        <f t="shared" si="3"/>
        <v>-0.55000000000000071</v>
      </c>
    </row>
    <row r="8" spans="2:9" x14ac:dyDescent="0.25">
      <c r="B8">
        <v>50.47</v>
      </c>
      <c r="C8">
        <v>50.1</v>
      </c>
      <c r="D8" s="2">
        <f t="shared" si="0"/>
        <v>-7.331087774915741E-3</v>
      </c>
      <c r="E8">
        <f t="shared" si="1"/>
        <v>-0.36999999999999744</v>
      </c>
      <c r="F8">
        <v>5</v>
      </c>
      <c r="G8">
        <f>F8*10</f>
        <v>50</v>
      </c>
      <c r="H8" s="2">
        <f t="shared" si="2"/>
        <v>-9.3124628492173341E-3</v>
      </c>
      <c r="I8">
        <f t="shared" si="3"/>
        <v>-0.46999999999999886</v>
      </c>
    </row>
    <row r="9" spans="2:9" x14ac:dyDescent="0.25">
      <c r="B9">
        <v>99.8</v>
      </c>
      <c r="C9">
        <v>99.04</v>
      </c>
      <c r="D9" s="2">
        <f t="shared" si="0"/>
        <v>-7.6152304609217528E-3</v>
      </c>
      <c r="E9">
        <f t="shared" si="1"/>
        <v>-0.75999999999999091</v>
      </c>
      <c r="F9">
        <v>9.92</v>
      </c>
      <c r="G9">
        <f>F9*10</f>
        <v>99.2</v>
      </c>
      <c r="H9" s="2">
        <f t="shared" si="2"/>
        <v>-6.0120240480961359E-3</v>
      </c>
      <c r="I9">
        <f t="shared" si="3"/>
        <v>-0.59999999999999432</v>
      </c>
    </row>
    <row r="10" spans="2:9" x14ac:dyDescent="0.25">
      <c r="B10">
        <v>202</v>
      </c>
      <c r="C10">
        <v>200.67</v>
      </c>
      <c r="D10" s="2">
        <f t="shared" si="0"/>
        <v>-6.5841584158416464E-3</v>
      </c>
      <c r="E10">
        <f t="shared" si="1"/>
        <v>-1.3300000000000125</v>
      </c>
      <c r="F10">
        <v>20.190000000000001</v>
      </c>
      <c r="G10">
        <f>F10*10</f>
        <v>201.9</v>
      </c>
      <c r="H10" s="2">
        <f t="shared" si="2"/>
        <v>-4.9504950495046687E-4</v>
      </c>
      <c r="I10">
        <f t="shared" si="3"/>
        <v>-9.9999999999994316E-2</v>
      </c>
    </row>
    <row r="11" spans="2:9" x14ac:dyDescent="0.25">
      <c r="B11">
        <v>508</v>
      </c>
      <c r="C11">
        <v>503.3</v>
      </c>
      <c r="D11" s="2">
        <f t="shared" si="0"/>
        <v>-9.2519685039369852E-3</v>
      </c>
      <c r="E11">
        <f t="shared" si="1"/>
        <v>-4.6999999999999886</v>
      </c>
      <c r="F11">
        <v>50.71</v>
      </c>
      <c r="G11">
        <f>F11*10</f>
        <v>507.1</v>
      </c>
      <c r="H11" s="2">
        <f t="shared" si="2"/>
        <v>-1.7716535433070419E-3</v>
      </c>
      <c r="I11">
        <f t="shared" si="3"/>
        <v>-0.89999999999997726</v>
      </c>
    </row>
    <row r="12" spans="2:9" x14ac:dyDescent="0.25">
      <c r="B12">
        <v>1036</v>
      </c>
      <c r="C12">
        <v>1028.5999999999999</v>
      </c>
      <c r="D12" s="2">
        <f t="shared" si="0"/>
        <v>-7.1428571428572302E-3</v>
      </c>
      <c r="E12">
        <f t="shared" si="1"/>
        <v>-7.4000000000000909</v>
      </c>
      <c r="F12">
        <v>103.7</v>
      </c>
      <c r="G12">
        <f>F12*10</f>
        <v>1037</v>
      </c>
      <c r="H12" s="2">
        <f t="shared" si="2"/>
        <v>9.6525096525096527E-4</v>
      </c>
      <c r="I12">
        <f t="shared" si="3"/>
        <v>1</v>
      </c>
    </row>
    <row r="13" spans="2:9" x14ac:dyDescent="0.25">
      <c r="B13">
        <v>2010</v>
      </c>
      <c r="C13">
        <v>2006</v>
      </c>
      <c r="D13" s="2">
        <f t="shared" si="0"/>
        <v>-1.990049751243781E-3</v>
      </c>
      <c r="E13">
        <f t="shared" si="1"/>
        <v>-4</v>
      </c>
      <c r="F13">
        <v>201.4</v>
      </c>
      <c r="G13">
        <f>F13*10</f>
        <v>2014</v>
      </c>
      <c r="H13" s="2">
        <f t="shared" si="2"/>
        <v>1.990049751243781E-3</v>
      </c>
      <c r="I13">
        <f t="shared" si="3"/>
        <v>4</v>
      </c>
    </row>
    <row r="14" spans="2:9" x14ac:dyDescent="0.25">
      <c r="B14">
        <v>3054</v>
      </c>
      <c r="C14">
        <v>3040</v>
      </c>
      <c r="D14" s="2">
        <f t="shared" si="0"/>
        <v>-4.5841519318926003E-3</v>
      </c>
      <c r="E14">
        <f t="shared" si="1"/>
        <v>-14</v>
      </c>
      <c r="F14">
        <v>305</v>
      </c>
      <c r="G14">
        <f>F14*10</f>
        <v>3050</v>
      </c>
      <c r="H14" s="2">
        <f t="shared" si="2"/>
        <v>-1.3097576948264572E-3</v>
      </c>
      <c r="I14">
        <f t="shared" si="3"/>
        <v>-4</v>
      </c>
    </row>
    <row r="17" spans="5:5" x14ac:dyDescent="0.25">
      <c r="E17" s="2"/>
    </row>
  </sheetData>
  <mergeCells count="1">
    <mergeCell ref="B2:I2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Melanson</dc:creator>
  <cp:lastModifiedBy>Shawn Melanson</cp:lastModifiedBy>
  <dcterms:created xsi:type="dcterms:W3CDTF">2025-12-25T19:38:59Z</dcterms:created>
  <dcterms:modified xsi:type="dcterms:W3CDTF">2025-12-25T22:15:24Z</dcterms:modified>
</cp:coreProperties>
</file>